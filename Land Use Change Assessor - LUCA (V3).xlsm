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ocumenttasks/documenttask1.xml" ContentType="application/vnd.ms-excel.documenttasks+xml"/>
  <Override PartName="/xl/comments5.xml" ContentType="application/vnd.openxmlformats-officedocument.spreadsheetml.comments+xml"/>
  <Override PartName="/xl/threadedComments/threadedComment5.xml" ContentType="application/vnd.ms-excel.threadedcomments+xml"/>
  <Override PartName="/xl/documenttasks/documenttask2.xml" ContentType="application/vnd.ms-excel.documenttask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0" codeName="{00000000-0000-0000-0000-000000000000}"/>
  <workbookPr codeName="ThisWorkbook"/>
  <mc:AlternateContent xmlns:mc="http://schemas.openxmlformats.org/markup-compatibility/2006">
    <mc:Choice Requires="x15">
      <x15ac:absPath xmlns:x15ac="http://schemas.microsoft.com/office/spreadsheetml/2010/11/ac" url="https://boprc.sharepoint.com/sites/TeamNPSFMandRNRP/Shared Documents/23 socio economic WS/Data, tools &amp; general assessment/LUCA (Land Use Change Assessor)/"/>
    </mc:Choice>
  </mc:AlternateContent>
  <xr:revisionPtr revIDLastSave="0" documentId="8_{E4C570E6-3AA0-4A2E-BC8B-6828CA74DE81}" xr6:coauthVersionLast="47" xr6:coauthVersionMax="47" xr10:uidLastSave="{00000000-0000-0000-0000-000000000000}"/>
  <bookViews>
    <workbookView xWindow="28680" yWindow="-120" windowWidth="29040" windowHeight="15720" firstSheet="5" activeTab="5" xr2:uid="{B499F1EF-F499-4F60-90B0-302073202826}"/>
  </bookViews>
  <sheets>
    <sheet name="Introduction" sheetId="10" r:id="rId1"/>
    <sheet name="Scenario" sheetId="4" r:id="rId2"/>
    <sheet name="Inputs" sheetId="6" r:id="rId3"/>
    <sheet name="Results" sheetId="9" r:id="rId4"/>
    <sheet name="Calculation" sheetId="7" r:id="rId5"/>
    <sheet name="Assumptions" sheetId="5" r:id="rId6"/>
    <sheet name="LU-Baseline" sheetId="1" r:id="rId7"/>
    <sheet name="Glossary" sheetId="8" r:id="rId8"/>
    <sheet name="Bibliography" sheetId="11" r:id="rId9"/>
  </sheets>
  <externalReferences>
    <externalReference r:id="rId10"/>
  </externalReferences>
  <definedNames>
    <definedName name="Industries_Gain_Count">'[1]Results Data'!$I$54</definedName>
    <definedName name="Industries_Loss_Count">'[1]Results Data'!$I$64</definedName>
    <definedName name="lstEnvironmental">'[1]by Scores'!$C$17:$C$27</definedName>
    <definedName name="lstSocial">'[1]by Scores'!$C$29:$C$40</definedName>
    <definedName name="ModelDescription">[1]Inputs!$B$7</definedName>
    <definedName name="Scores_Env">'[1]by Scores'!$AG$17:$AG$27</definedName>
    <definedName name="Scores_Soc">'[1]by Scores'!$AG$29:$AG$40</definedName>
    <definedName name="SelectedIOTable">'[1]by IO Table'!$AF$18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T33" i="5" l="1"/>
  <c r="JX33" i="5"/>
  <c r="JB33" i="5"/>
  <c r="IF33" i="5"/>
  <c r="HJ33" i="5"/>
  <c r="FR33" i="5"/>
  <c r="J14" i="4"/>
  <c r="J15" i="4"/>
  <c r="J16" i="4"/>
  <c r="J17" i="4"/>
  <c r="J18" i="4"/>
  <c r="J19" i="4"/>
  <c r="J20" i="4"/>
  <c r="J21" i="4"/>
  <c r="J22" i="4"/>
  <c r="J23" i="4"/>
  <c r="J24" i="4"/>
  <c r="J25" i="4"/>
  <c r="J26" i="4"/>
  <c r="J27" i="4"/>
  <c r="J28" i="4"/>
  <c r="J29" i="4"/>
  <c r="J30" i="4"/>
  <c r="J31" i="4"/>
  <c r="J32" i="4"/>
  <c r="J33" i="4"/>
  <c r="J34" i="4"/>
  <c r="J35" i="4"/>
  <c r="F27" i="4" l="1"/>
  <c r="H27" i="4" s="1"/>
  <c r="B12" i="4"/>
  <c r="B3" i="6" s="1"/>
  <c r="J13" i="4"/>
  <c r="F3" i="9"/>
  <c r="B2" i="6"/>
  <c r="C39" i="4" l="1"/>
  <c r="D53" i="7" l="1"/>
  <c r="D84" i="7" s="1"/>
  <c r="C53" i="7"/>
  <c r="C84" i="7" s="1"/>
  <c r="C32" i="1"/>
  <c r="P6" i="1"/>
  <c r="B45" i="7" l="1"/>
  <c r="B76" i="7" s="1"/>
  <c r="B37" i="7"/>
  <c r="B68" i="7" s="1"/>
  <c r="F36" i="4" l="1"/>
  <c r="H36" i="4" s="1"/>
  <c r="AN11" i="5" l="1"/>
  <c r="BJ11" i="5" s="1"/>
  <c r="CF11" i="5" s="1"/>
  <c r="DB11" i="5" s="1"/>
  <c r="DX11" i="5" s="1"/>
  <c r="ET11" i="5" s="1"/>
  <c r="FP11" i="5" s="1"/>
  <c r="GL11" i="5" s="1"/>
  <c r="HH11" i="5" s="1"/>
  <c r="ID11" i="5" s="1"/>
  <c r="IZ11" i="5" s="1"/>
  <c r="JV11" i="5" s="1"/>
  <c r="KR11" i="5" s="1"/>
  <c r="P15" i="1" l="1"/>
  <c r="B27" i="4"/>
  <c r="R67" i="7"/>
  <c r="R36" i="7"/>
  <c r="AN13" i="5"/>
  <c r="BJ13" i="5" s="1"/>
  <c r="CF13" i="5" s="1"/>
  <c r="DB13" i="5" s="1"/>
  <c r="DX13" i="5" s="1"/>
  <c r="ET13" i="5" s="1"/>
  <c r="FP13" i="5" s="1"/>
  <c r="GL13" i="5" s="1"/>
  <c r="HH13" i="5" s="1"/>
  <c r="ID13" i="5" s="1"/>
  <c r="IZ13" i="5" s="1"/>
  <c r="JV13" i="5" s="1"/>
  <c r="KR13" i="5" s="1"/>
  <c r="C40" i="7" l="1"/>
  <c r="C71" i="7" s="1"/>
  <c r="D40" i="7"/>
  <c r="D71" i="7" s="1"/>
  <c r="C43" i="7"/>
  <c r="C74" i="7" s="1"/>
  <c r="D43" i="7"/>
  <c r="D74" i="7" s="1"/>
  <c r="C45" i="7"/>
  <c r="C76" i="7" s="1"/>
  <c r="D45" i="7"/>
  <c r="D76" i="7" s="1"/>
  <c r="C46" i="7"/>
  <c r="C77" i="7" s="1"/>
  <c r="D46" i="7"/>
  <c r="D77" i="7" s="1"/>
  <c r="C48" i="7"/>
  <c r="C79" i="7" s="1"/>
  <c r="C47" i="7"/>
  <c r="C78" i="7" s="1"/>
  <c r="D47" i="7"/>
  <c r="D78" i="7" s="1"/>
  <c r="C49" i="7"/>
  <c r="C80" i="7" s="1"/>
  <c r="D49" i="7"/>
  <c r="D80" i="7" s="1"/>
  <c r="C50" i="7"/>
  <c r="C81" i="7" s="1"/>
  <c r="D50" i="7"/>
  <c r="D81" i="7" s="1"/>
  <c r="C51" i="7"/>
  <c r="C82" i="7" s="1"/>
  <c r="D51" i="7"/>
  <c r="D82" i="7" s="1"/>
  <c r="C52" i="7"/>
  <c r="C83" i="7" s="1"/>
  <c r="D52" i="7"/>
  <c r="D83" i="7" s="1"/>
  <c r="C54" i="7"/>
  <c r="C85" i="7" s="1"/>
  <c r="D54" i="7"/>
  <c r="D85" i="7" s="1"/>
  <c r="C55" i="7"/>
  <c r="C86" i="7" s="1"/>
  <c r="D55" i="7"/>
  <c r="D86" i="7" s="1"/>
  <c r="C56" i="7"/>
  <c r="C87" i="7" s="1"/>
  <c r="D56" i="7"/>
  <c r="D87" i="7" s="1"/>
  <c r="D44" i="7"/>
  <c r="D75" i="7" s="1"/>
  <c r="C57" i="7"/>
  <c r="C88" i="7" s="1"/>
  <c r="D57" i="7"/>
  <c r="D88" i="7" s="1"/>
  <c r="C58" i="7"/>
  <c r="C89" i="7" s="1"/>
  <c r="D58" i="7"/>
  <c r="D89" i="7" s="1"/>
  <c r="C59" i="7"/>
  <c r="C90" i="7" s="1"/>
  <c r="D59" i="7"/>
  <c r="D90" i="7" s="1"/>
  <c r="C60" i="7"/>
  <c r="C91" i="7" s="1"/>
  <c r="D60" i="7"/>
  <c r="D91" i="7" s="1"/>
  <c r="C61" i="7"/>
  <c r="C92" i="7" s="1"/>
  <c r="D61" i="7"/>
  <c r="D92" i="7" s="1"/>
  <c r="C62" i="7"/>
  <c r="C93" i="7" s="1"/>
  <c r="D62" i="7"/>
  <c r="D93" i="7" s="1"/>
  <c r="D37" i="7"/>
  <c r="D68" i="7" s="1"/>
  <c r="C37" i="7"/>
  <c r="C68" i="7" s="1"/>
  <c r="F67" i="7"/>
  <c r="G67" i="7"/>
  <c r="H67" i="7"/>
  <c r="I67" i="7"/>
  <c r="J67" i="7"/>
  <c r="K67" i="7"/>
  <c r="L67" i="7"/>
  <c r="M67" i="7"/>
  <c r="N67" i="7"/>
  <c r="O67" i="7"/>
  <c r="P67" i="7"/>
  <c r="Q67" i="7"/>
  <c r="S67" i="7"/>
  <c r="T67" i="7"/>
  <c r="U67" i="7"/>
  <c r="V67" i="7"/>
  <c r="W67" i="7"/>
  <c r="X67" i="7"/>
  <c r="Y67" i="7"/>
  <c r="Z67" i="7"/>
  <c r="E67" i="7"/>
  <c r="F36" i="7"/>
  <c r="G36" i="7"/>
  <c r="H36" i="7"/>
  <c r="I36" i="7"/>
  <c r="J36" i="7"/>
  <c r="K36" i="7"/>
  <c r="L36" i="7"/>
  <c r="M36" i="7"/>
  <c r="N36" i="7"/>
  <c r="O36" i="7"/>
  <c r="P36" i="7"/>
  <c r="Q36" i="7"/>
  <c r="S36" i="7"/>
  <c r="T36" i="7"/>
  <c r="U36" i="7"/>
  <c r="V36" i="7"/>
  <c r="W36" i="7"/>
  <c r="X36" i="7"/>
  <c r="Y36" i="7"/>
  <c r="Z36" i="7"/>
  <c r="E36" i="7"/>
  <c r="B2" i="7"/>
  <c r="AB11" i="5"/>
  <c r="AX11" i="5" s="1"/>
  <c r="BT11" i="5" s="1"/>
  <c r="CP11" i="5" s="1"/>
  <c r="DL11" i="5" s="1"/>
  <c r="EH11" i="5" s="1"/>
  <c r="FD11" i="5" s="1"/>
  <c r="FZ11" i="5" s="1"/>
  <c r="GV11" i="5" s="1"/>
  <c r="HR11" i="5" s="1"/>
  <c r="IN11" i="5" s="1"/>
  <c r="JJ11" i="5" s="1"/>
  <c r="KF11" i="5" s="1"/>
  <c r="AC11" i="5"/>
  <c r="AY11" i="5" s="1"/>
  <c r="BU11" i="5" s="1"/>
  <c r="CQ11" i="5" s="1"/>
  <c r="DM11" i="5" s="1"/>
  <c r="EI11" i="5" s="1"/>
  <c r="FE11" i="5" s="1"/>
  <c r="GA11" i="5" s="1"/>
  <c r="GW11" i="5" s="1"/>
  <c r="HS11" i="5" s="1"/>
  <c r="IO11" i="5" s="1"/>
  <c r="JK11" i="5" s="1"/>
  <c r="KG11" i="5" s="1"/>
  <c r="AD11" i="5"/>
  <c r="AZ11" i="5" s="1"/>
  <c r="BV11" i="5" s="1"/>
  <c r="CR11" i="5" s="1"/>
  <c r="DN11" i="5" s="1"/>
  <c r="EJ11" i="5" s="1"/>
  <c r="FF11" i="5" s="1"/>
  <c r="GB11" i="5" s="1"/>
  <c r="GX11" i="5" s="1"/>
  <c r="HT11" i="5" s="1"/>
  <c r="IP11" i="5" s="1"/>
  <c r="JL11" i="5" s="1"/>
  <c r="KH11" i="5" s="1"/>
  <c r="AE11" i="5"/>
  <c r="BA11" i="5" s="1"/>
  <c r="BW11" i="5" s="1"/>
  <c r="CS11" i="5" s="1"/>
  <c r="DO11" i="5" s="1"/>
  <c r="EK11" i="5" s="1"/>
  <c r="FG11" i="5" s="1"/>
  <c r="GC11" i="5" s="1"/>
  <c r="GY11" i="5" s="1"/>
  <c r="HU11" i="5" s="1"/>
  <c r="IQ11" i="5" s="1"/>
  <c r="JM11" i="5" s="1"/>
  <c r="KI11" i="5" s="1"/>
  <c r="AF11" i="5"/>
  <c r="BB11" i="5" s="1"/>
  <c r="BX11" i="5" s="1"/>
  <c r="CT11" i="5" s="1"/>
  <c r="DP11" i="5" s="1"/>
  <c r="EL11" i="5" s="1"/>
  <c r="FH11" i="5" s="1"/>
  <c r="GD11" i="5" s="1"/>
  <c r="GZ11" i="5" s="1"/>
  <c r="HV11" i="5" s="1"/>
  <c r="IR11" i="5" s="1"/>
  <c r="JN11" i="5" s="1"/>
  <c r="KJ11" i="5" s="1"/>
  <c r="AG11" i="5"/>
  <c r="BC11" i="5" s="1"/>
  <c r="BY11" i="5" s="1"/>
  <c r="CU11" i="5" s="1"/>
  <c r="DQ11" i="5" s="1"/>
  <c r="EM11" i="5" s="1"/>
  <c r="FI11" i="5" s="1"/>
  <c r="GE11" i="5" s="1"/>
  <c r="HA11" i="5" s="1"/>
  <c r="HW11" i="5" s="1"/>
  <c r="IS11" i="5" s="1"/>
  <c r="JO11" i="5" s="1"/>
  <c r="KK11" i="5" s="1"/>
  <c r="AH11" i="5"/>
  <c r="BD11" i="5" s="1"/>
  <c r="BZ11" i="5" s="1"/>
  <c r="CV11" i="5" s="1"/>
  <c r="DR11" i="5" s="1"/>
  <c r="EN11" i="5" s="1"/>
  <c r="FJ11" i="5" s="1"/>
  <c r="GF11" i="5" s="1"/>
  <c r="HB11" i="5" s="1"/>
  <c r="HX11" i="5" s="1"/>
  <c r="IT11" i="5" s="1"/>
  <c r="JP11" i="5" s="1"/>
  <c r="KL11" i="5" s="1"/>
  <c r="AI11" i="5"/>
  <c r="BE11" i="5" s="1"/>
  <c r="CA11" i="5" s="1"/>
  <c r="CW11" i="5" s="1"/>
  <c r="DS11" i="5" s="1"/>
  <c r="EO11" i="5" s="1"/>
  <c r="FK11" i="5" s="1"/>
  <c r="GG11" i="5" s="1"/>
  <c r="HC11" i="5" s="1"/>
  <c r="HY11" i="5" s="1"/>
  <c r="IU11" i="5" s="1"/>
  <c r="JQ11" i="5" s="1"/>
  <c r="KM11" i="5" s="1"/>
  <c r="AJ11" i="5"/>
  <c r="BF11" i="5" s="1"/>
  <c r="CB11" i="5" s="1"/>
  <c r="CX11" i="5" s="1"/>
  <c r="DT11" i="5" s="1"/>
  <c r="EP11" i="5" s="1"/>
  <c r="FL11" i="5" s="1"/>
  <c r="GH11" i="5" s="1"/>
  <c r="HD11" i="5" s="1"/>
  <c r="HZ11" i="5" s="1"/>
  <c r="IV11" i="5" s="1"/>
  <c r="JR11" i="5" s="1"/>
  <c r="KN11" i="5" s="1"/>
  <c r="AK11" i="5"/>
  <c r="BG11" i="5" s="1"/>
  <c r="CC11" i="5" s="1"/>
  <c r="CY11" i="5" s="1"/>
  <c r="DU11" i="5" s="1"/>
  <c r="EQ11" i="5" s="1"/>
  <c r="FM11" i="5" s="1"/>
  <c r="GI11" i="5" s="1"/>
  <c r="HE11" i="5" s="1"/>
  <c r="IA11" i="5" s="1"/>
  <c r="IW11" i="5" s="1"/>
  <c r="JS11" i="5" s="1"/>
  <c r="KO11" i="5" s="1"/>
  <c r="AL11" i="5"/>
  <c r="BH11" i="5" s="1"/>
  <c r="CD11" i="5" s="1"/>
  <c r="CZ11" i="5" s="1"/>
  <c r="DV11" i="5" s="1"/>
  <c r="ER11" i="5" s="1"/>
  <c r="FN11" i="5" s="1"/>
  <c r="GJ11" i="5" s="1"/>
  <c r="HF11" i="5" s="1"/>
  <c r="IB11" i="5" s="1"/>
  <c r="IX11" i="5" s="1"/>
  <c r="JT11" i="5" s="1"/>
  <c r="KP11" i="5" s="1"/>
  <c r="AM11" i="5"/>
  <c r="BI11" i="5" s="1"/>
  <c r="CE11" i="5" s="1"/>
  <c r="DA11" i="5" s="1"/>
  <c r="DW11" i="5" s="1"/>
  <c r="ES11" i="5" s="1"/>
  <c r="FO11" i="5" s="1"/>
  <c r="GK11" i="5" s="1"/>
  <c r="HG11" i="5" s="1"/>
  <c r="IC11" i="5" s="1"/>
  <c r="IY11" i="5" s="1"/>
  <c r="JU11" i="5" s="1"/>
  <c r="KQ11" i="5" s="1"/>
  <c r="AO11" i="5"/>
  <c r="BK11" i="5" s="1"/>
  <c r="CG11" i="5" s="1"/>
  <c r="DC11" i="5" s="1"/>
  <c r="DY11" i="5" s="1"/>
  <c r="EU11" i="5" s="1"/>
  <c r="FQ11" i="5" s="1"/>
  <c r="GM11" i="5" s="1"/>
  <c r="HI11" i="5" s="1"/>
  <c r="IE11" i="5" s="1"/>
  <c r="JA11" i="5" s="1"/>
  <c r="JW11" i="5" s="1"/>
  <c r="KS11" i="5" s="1"/>
  <c r="AP11" i="5"/>
  <c r="BL11" i="5" s="1"/>
  <c r="CH11" i="5" s="1"/>
  <c r="DD11" i="5" s="1"/>
  <c r="DZ11" i="5" s="1"/>
  <c r="EV11" i="5" s="1"/>
  <c r="FR11" i="5" s="1"/>
  <c r="GN11" i="5" s="1"/>
  <c r="HJ11" i="5" s="1"/>
  <c r="IF11" i="5" s="1"/>
  <c r="JB11" i="5" s="1"/>
  <c r="JX11" i="5" s="1"/>
  <c r="KT11" i="5" s="1"/>
  <c r="AQ11" i="5"/>
  <c r="BM11" i="5" s="1"/>
  <c r="CI11" i="5" s="1"/>
  <c r="DE11" i="5" s="1"/>
  <c r="EA11" i="5" s="1"/>
  <c r="EW11" i="5" s="1"/>
  <c r="FS11" i="5" s="1"/>
  <c r="GO11" i="5" s="1"/>
  <c r="HK11" i="5" s="1"/>
  <c r="IG11" i="5" s="1"/>
  <c r="JC11" i="5" s="1"/>
  <c r="JY11" i="5" s="1"/>
  <c r="KU11" i="5" s="1"/>
  <c r="AR11" i="5"/>
  <c r="BN11" i="5" s="1"/>
  <c r="CJ11" i="5" s="1"/>
  <c r="DF11" i="5" s="1"/>
  <c r="EB11" i="5" s="1"/>
  <c r="EX11" i="5" s="1"/>
  <c r="FT11" i="5" s="1"/>
  <c r="GP11" i="5" s="1"/>
  <c r="HL11" i="5" s="1"/>
  <c r="IH11" i="5" s="1"/>
  <c r="JD11" i="5" s="1"/>
  <c r="JZ11" i="5" s="1"/>
  <c r="KV11" i="5" s="1"/>
  <c r="AS11" i="5"/>
  <c r="BO11" i="5" s="1"/>
  <c r="CK11" i="5" s="1"/>
  <c r="DG11" i="5" s="1"/>
  <c r="EC11" i="5" s="1"/>
  <c r="EY11" i="5" s="1"/>
  <c r="FU11" i="5" s="1"/>
  <c r="GQ11" i="5" s="1"/>
  <c r="HM11" i="5" s="1"/>
  <c r="II11" i="5" s="1"/>
  <c r="JE11" i="5" s="1"/>
  <c r="KA11" i="5" s="1"/>
  <c r="KW11" i="5" s="1"/>
  <c r="AT11" i="5"/>
  <c r="BP11" i="5" s="1"/>
  <c r="CL11" i="5" s="1"/>
  <c r="DH11" i="5" s="1"/>
  <c r="ED11" i="5" s="1"/>
  <c r="EZ11" i="5" s="1"/>
  <c r="FV11" i="5" s="1"/>
  <c r="GR11" i="5" s="1"/>
  <c r="HN11" i="5" s="1"/>
  <c r="IJ11" i="5" s="1"/>
  <c r="JF11" i="5" s="1"/>
  <c r="KB11" i="5" s="1"/>
  <c r="KX11" i="5" s="1"/>
  <c r="AU11" i="5"/>
  <c r="BQ11" i="5" s="1"/>
  <c r="CM11" i="5" s="1"/>
  <c r="DI11" i="5" s="1"/>
  <c r="EE11" i="5" s="1"/>
  <c r="FA11" i="5" s="1"/>
  <c r="FW11" i="5" s="1"/>
  <c r="GS11" i="5" s="1"/>
  <c r="HO11" i="5" s="1"/>
  <c r="IK11" i="5" s="1"/>
  <c r="JG11" i="5" s="1"/>
  <c r="KC11" i="5" s="1"/>
  <c r="KY11" i="5" s="1"/>
  <c r="AV11" i="5"/>
  <c r="BR11" i="5" s="1"/>
  <c r="CN11" i="5" s="1"/>
  <c r="DJ11" i="5" s="1"/>
  <c r="EF11" i="5" s="1"/>
  <c r="FB11" i="5" s="1"/>
  <c r="FX11" i="5" s="1"/>
  <c r="GT11" i="5" s="1"/>
  <c r="HP11" i="5" s="1"/>
  <c r="IL11" i="5" s="1"/>
  <c r="JH11" i="5" s="1"/>
  <c r="KD11" i="5" s="1"/>
  <c r="KZ11" i="5" s="1"/>
  <c r="AA11" i="5"/>
  <c r="AW11" i="5" s="1"/>
  <c r="BS11" i="5" s="1"/>
  <c r="CO11" i="5" s="1"/>
  <c r="DK11" i="5" s="1"/>
  <c r="EG11" i="5" s="1"/>
  <c r="FC11" i="5" s="1"/>
  <c r="FY11" i="5" s="1"/>
  <c r="GU11" i="5" s="1"/>
  <c r="HQ11" i="5" s="1"/>
  <c r="IM11" i="5" s="1"/>
  <c r="JI11" i="5" s="1"/>
  <c r="KE11" i="5" s="1"/>
  <c r="AB13" i="5"/>
  <c r="AX13" i="5" s="1"/>
  <c r="BT13" i="5" s="1"/>
  <c r="CP13" i="5" s="1"/>
  <c r="DL13" i="5" s="1"/>
  <c r="EH13" i="5" s="1"/>
  <c r="FD13" i="5" s="1"/>
  <c r="FZ13" i="5" s="1"/>
  <c r="GV13" i="5" s="1"/>
  <c r="HR13" i="5" s="1"/>
  <c r="IN13" i="5" s="1"/>
  <c r="JJ13" i="5" s="1"/>
  <c r="KF13" i="5" s="1"/>
  <c r="AC13" i="5"/>
  <c r="AY13" i="5" s="1"/>
  <c r="BU13" i="5" s="1"/>
  <c r="CQ13" i="5" s="1"/>
  <c r="DM13" i="5" s="1"/>
  <c r="EI13" i="5" s="1"/>
  <c r="FE13" i="5" s="1"/>
  <c r="GA13" i="5" s="1"/>
  <c r="AD13" i="5"/>
  <c r="AZ13" i="5" s="1"/>
  <c r="BV13" i="5" s="1"/>
  <c r="CR13" i="5" s="1"/>
  <c r="DN13" i="5" s="1"/>
  <c r="EJ13" i="5" s="1"/>
  <c r="FF13" i="5" s="1"/>
  <c r="GB13" i="5" s="1"/>
  <c r="GX13" i="5" s="1"/>
  <c r="HT13" i="5" s="1"/>
  <c r="IP13" i="5" s="1"/>
  <c r="JL13" i="5" s="1"/>
  <c r="KH13" i="5" s="1"/>
  <c r="AE13" i="5"/>
  <c r="BA13" i="5" s="1"/>
  <c r="BW13" i="5" s="1"/>
  <c r="CS13" i="5" s="1"/>
  <c r="DO13" i="5" s="1"/>
  <c r="EK13" i="5" s="1"/>
  <c r="FG13" i="5" s="1"/>
  <c r="GC13" i="5" s="1"/>
  <c r="GY13" i="5" s="1"/>
  <c r="HU13" i="5" s="1"/>
  <c r="IQ13" i="5" s="1"/>
  <c r="JM13" i="5" s="1"/>
  <c r="KI13" i="5" s="1"/>
  <c r="AF13" i="5"/>
  <c r="BB13" i="5" s="1"/>
  <c r="BX13" i="5" s="1"/>
  <c r="CT13" i="5" s="1"/>
  <c r="DP13" i="5" s="1"/>
  <c r="EL13" i="5" s="1"/>
  <c r="FH13" i="5" s="1"/>
  <c r="GD13" i="5" s="1"/>
  <c r="GZ13" i="5" s="1"/>
  <c r="HV13" i="5" s="1"/>
  <c r="IR13" i="5" s="1"/>
  <c r="JN13" i="5" s="1"/>
  <c r="KJ13" i="5" s="1"/>
  <c r="AG13" i="5"/>
  <c r="BC13" i="5" s="1"/>
  <c r="BY13" i="5" s="1"/>
  <c r="CU13" i="5" s="1"/>
  <c r="DQ13" i="5" s="1"/>
  <c r="EM13" i="5" s="1"/>
  <c r="FI13" i="5" s="1"/>
  <c r="GE13" i="5" s="1"/>
  <c r="HA13" i="5" s="1"/>
  <c r="HW13" i="5" s="1"/>
  <c r="IS13" i="5" s="1"/>
  <c r="JO13" i="5" s="1"/>
  <c r="KK13" i="5" s="1"/>
  <c r="AH13" i="5"/>
  <c r="BD13" i="5" s="1"/>
  <c r="BZ13" i="5" s="1"/>
  <c r="CV13" i="5" s="1"/>
  <c r="DR13" i="5" s="1"/>
  <c r="EN13" i="5" s="1"/>
  <c r="FJ13" i="5" s="1"/>
  <c r="GF13" i="5" s="1"/>
  <c r="HB13" i="5" s="1"/>
  <c r="HX13" i="5" s="1"/>
  <c r="IT13" i="5" s="1"/>
  <c r="JP13" i="5" s="1"/>
  <c r="KL13" i="5" s="1"/>
  <c r="AI13" i="5"/>
  <c r="BE13" i="5" s="1"/>
  <c r="CA13" i="5" s="1"/>
  <c r="CW13" i="5" s="1"/>
  <c r="DS13" i="5" s="1"/>
  <c r="EO13" i="5" s="1"/>
  <c r="FK13" i="5" s="1"/>
  <c r="GG13" i="5" s="1"/>
  <c r="HC13" i="5" s="1"/>
  <c r="HY13" i="5" s="1"/>
  <c r="IU13" i="5" s="1"/>
  <c r="JQ13" i="5" s="1"/>
  <c r="KM13" i="5" s="1"/>
  <c r="AJ13" i="5"/>
  <c r="BF13" i="5" s="1"/>
  <c r="CB13" i="5" s="1"/>
  <c r="CX13" i="5" s="1"/>
  <c r="DT13" i="5" s="1"/>
  <c r="EP13" i="5" s="1"/>
  <c r="FL13" i="5" s="1"/>
  <c r="GH13" i="5" s="1"/>
  <c r="HD13" i="5" s="1"/>
  <c r="HZ13" i="5" s="1"/>
  <c r="IV13" i="5" s="1"/>
  <c r="JR13" i="5" s="1"/>
  <c r="KN13" i="5" s="1"/>
  <c r="AK13" i="5"/>
  <c r="BG13" i="5" s="1"/>
  <c r="CC13" i="5" s="1"/>
  <c r="CY13" i="5" s="1"/>
  <c r="DU13" i="5" s="1"/>
  <c r="EQ13" i="5" s="1"/>
  <c r="FM13" i="5" s="1"/>
  <c r="GI13" i="5" s="1"/>
  <c r="HE13" i="5" s="1"/>
  <c r="IA13" i="5" s="1"/>
  <c r="IW13" i="5" s="1"/>
  <c r="JS13" i="5" s="1"/>
  <c r="KO13" i="5" s="1"/>
  <c r="AL13" i="5"/>
  <c r="BH13" i="5" s="1"/>
  <c r="CD13" i="5" s="1"/>
  <c r="CZ13" i="5" s="1"/>
  <c r="DV13" i="5" s="1"/>
  <c r="ER13" i="5" s="1"/>
  <c r="FN13" i="5" s="1"/>
  <c r="GJ13" i="5" s="1"/>
  <c r="HF13" i="5" s="1"/>
  <c r="IB13" i="5" s="1"/>
  <c r="IX13" i="5" s="1"/>
  <c r="JT13" i="5" s="1"/>
  <c r="KP13" i="5" s="1"/>
  <c r="AM13" i="5"/>
  <c r="BI13" i="5" s="1"/>
  <c r="CE13" i="5" s="1"/>
  <c r="DA13" i="5" s="1"/>
  <c r="DW13" i="5" s="1"/>
  <c r="ES13" i="5" s="1"/>
  <c r="FO13" i="5" s="1"/>
  <c r="GK13" i="5" s="1"/>
  <c r="HG13" i="5" s="1"/>
  <c r="IC13" i="5" s="1"/>
  <c r="IY13" i="5" s="1"/>
  <c r="JU13" i="5" s="1"/>
  <c r="KQ13" i="5" s="1"/>
  <c r="AO13" i="5"/>
  <c r="BK13" i="5" s="1"/>
  <c r="CG13" i="5" s="1"/>
  <c r="DC13" i="5" s="1"/>
  <c r="DY13" i="5" s="1"/>
  <c r="EU13" i="5" s="1"/>
  <c r="FQ13" i="5" s="1"/>
  <c r="GM13" i="5" s="1"/>
  <c r="HI13" i="5" s="1"/>
  <c r="IE13" i="5" s="1"/>
  <c r="JA13" i="5" s="1"/>
  <c r="JW13" i="5" s="1"/>
  <c r="KS13" i="5" s="1"/>
  <c r="AP13" i="5"/>
  <c r="BL13" i="5" s="1"/>
  <c r="CH13" i="5" s="1"/>
  <c r="DD13" i="5" s="1"/>
  <c r="DZ13" i="5" s="1"/>
  <c r="EV13" i="5" s="1"/>
  <c r="FR13" i="5" s="1"/>
  <c r="GN13" i="5" s="1"/>
  <c r="HJ13" i="5" s="1"/>
  <c r="IF13" i="5" s="1"/>
  <c r="JB13" i="5" s="1"/>
  <c r="JX13" i="5" s="1"/>
  <c r="KT13" i="5" s="1"/>
  <c r="AQ13" i="5"/>
  <c r="BM13" i="5" s="1"/>
  <c r="CI13" i="5" s="1"/>
  <c r="DE13" i="5" s="1"/>
  <c r="EA13" i="5" s="1"/>
  <c r="EW13" i="5" s="1"/>
  <c r="FS13" i="5" s="1"/>
  <c r="GO13" i="5" s="1"/>
  <c r="HK13" i="5" s="1"/>
  <c r="IG13" i="5" s="1"/>
  <c r="JC13" i="5" s="1"/>
  <c r="JY13" i="5" s="1"/>
  <c r="KU13" i="5" s="1"/>
  <c r="AR13" i="5"/>
  <c r="BN13" i="5" s="1"/>
  <c r="CJ13" i="5" s="1"/>
  <c r="DF13" i="5" s="1"/>
  <c r="EB13" i="5" s="1"/>
  <c r="EX13" i="5" s="1"/>
  <c r="FT13" i="5" s="1"/>
  <c r="GP13" i="5" s="1"/>
  <c r="HL13" i="5" s="1"/>
  <c r="IH13" i="5" s="1"/>
  <c r="JD13" i="5" s="1"/>
  <c r="JZ13" i="5" s="1"/>
  <c r="KV13" i="5" s="1"/>
  <c r="AS13" i="5"/>
  <c r="BO13" i="5" s="1"/>
  <c r="CK13" i="5" s="1"/>
  <c r="DG13" i="5" s="1"/>
  <c r="EC13" i="5" s="1"/>
  <c r="EY13" i="5" s="1"/>
  <c r="FU13" i="5" s="1"/>
  <c r="GQ13" i="5" s="1"/>
  <c r="HM13" i="5" s="1"/>
  <c r="II13" i="5" s="1"/>
  <c r="JE13" i="5" s="1"/>
  <c r="KA13" i="5" s="1"/>
  <c r="KW13" i="5" s="1"/>
  <c r="AT13" i="5"/>
  <c r="BP13" i="5" s="1"/>
  <c r="CL13" i="5" s="1"/>
  <c r="DH13" i="5" s="1"/>
  <c r="ED13" i="5" s="1"/>
  <c r="EZ13" i="5" s="1"/>
  <c r="FV13" i="5" s="1"/>
  <c r="GR13" i="5" s="1"/>
  <c r="HN13" i="5" s="1"/>
  <c r="IJ13" i="5" s="1"/>
  <c r="JF13" i="5" s="1"/>
  <c r="KB13" i="5" s="1"/>
  <c r="KX13" i="5" s="1"/>
  <c r="AU13" i="5"/>
  <c r="BQ13" i="5" s="1"/>
  <c r="CM13" i="5" s="1"/>
  <c r="DI13" i="5" s="1"/>
  <c r="EE13" i="5" s="1"/>
  <c r="FA13" i="5" s="1"/>
  <c r="FW13" i="5" s="1"/>
  <c r="GS13" i="5" s="1"/>
  <c r="HO13" i="5" s="1"/>
  <c r="IK13" i="5" s="1"/>
  <c r="JG13" i="5" s="1"/>
  <c r="KC13" i="5" s="1"/>
  <c r="KY13" i="5" s="1"/>
  <c r="AV13" i="5"/>
  <c r="BR13" i="5" s="1"/>
  <c r="CN13" i="5" s="1"/>
  <c r="DJ13" i="5" s="1"/>
  <c r="EF13" i="5" s="1"/>
  <c r="FB13" i="5" s="1"/>
  <c r="FX13" i="5" s="1"/>
  <c r="GT13" i="5" s="1"/>
  <c r="HP13" i="5" s="1"/>
  <c r="IL13" i="5" s="1"/>
  <c r="JH13" i="5" s="1"/>
  <c r="KD13" i="5" s="1"/>
  <c r="KZ13" i="5" s="1"/>
  <c r="AA13" i="5"/>
  <c r="GW13" i="5" l="1"/>
  <c r="HS13" i="5" s="1"/>
  <c r="IO13" i="5" s="1"/>
  <c r="JK13" i="5" s="1"/>
  <c r="KG13" i="5" s="1"/>
  <c r="F12" i="6"/>
  <c r="R18" i="6"/>
  <c r="H25" i="6"/>
  <c r="T31" i="6"/>
  <c r="I28" i="6"/>
  <c r="S12" i="6"/>
  <c r="I19" i="6"/>
  <c r="U25" i="6"/>
  <c r="K32" i="6"/>
  <c r="M20" i="6"/>
  <c r="K37" i="6"/>
  <c r="V33" i="6"/>
  <c r="L14" i="6"/>
  <c r="X20" i="6"/>
  <c r="N27" i="6"/>
  <c r="Z33" i="6"/>
  <c r="Y26" i="6"/>
  <c r="O37" i="6"/>
  <c r="M14" i="6"/>
  <c r="M26" i="6"/>
  <c r="V34" i="6"/>
  <c r="Z14" i="6"/>
  <c r="P21" i="6"/>
  <c r="F28" i="6"/>
  <c r="T33" i="6"/>
  <c r="O14" i="6"/>
  <c r="E21" i="6"/>
  <c r="Q27" i="6"/>
  <c r="G34" i="6"/>
  <c r="H34" i="6"/>
  <c r="W15" i="6"/>
  <c r="R15" i="6"/>
  <c r="H22" i="6"/>
  <c r="T28" i="6"/>
  <c r="U28" i="6"/>
  <c r="Y12" i="6"/>
  <c r="O19" i="6"/>
  <c r="F37" i="6"/>
  <c r="J16" i="6"/>
  <c r="V22" i="6"/>
  <c r="L29" i="6"/>
  <c r="E13" i="6"/>
  <c r="Q19" i="6"/>
  <c r="G26" i="6"/>
  <c r="K34" i="6"/>
  <c r="V15" i="6"/>
  <c r="L22" i="6"/>
  <c r="X28" i="6"/>
  <c r="G20" i="6"/>
  <c r="S26" i="6"/>
  <c r="L16" i="6"/>
  <c r="N29" i="6"/>
  <c r="U14" i="6"/>
  <c r="Z29" i="6"/>
  <c r="I24" i="6"/>
  <c r="Q33" i="6"/>
  <c r="T15" i="6"/>
  <c r="L28" i="6"/>
  <c r="R12" i="6"/>
  <c r="H19" i="6"/>
  <c r="T25" i="6"/>
  <c r="J32" i="6"/>
  <c r="Q32" i="6"/>
  <c r="I13" i="6"/>
  <c r="U19" i="6"/>
  <c r="K26" i="6"/>
  <c r="W32" i="6"/>
  <c r="E22" i="6"/>
  <c r="F34" i="6"/>
  <c r="R37" i="6"/>
  <c r="X14" i="6"/>
  <c r="N21" i="6"/>
  <c r="Z27" i="6"/>
  <c r="P34" i="6"/>
  <c r="G29" i="6"/>
  <c r="X35" i="6"/>
  <c r="Y14" i="6"/>
  <c r="E28" i="6"/>
  <c r="W34" i="6"/>
  <c r="P15" i="6"/>
  <c r="F22" i="6"/>
  <c r="R28" i="6"/>
  <c r="U33" i="6"/>
  <c r="E15" i="6"/>
  <c r="Q21" i="6"/>
  <c r="G28" i="6"/>
  <c r="S34" i="6"/>
  <c r="V35" i="6"/>
  <c r="Q18" i="6"/>
  <c r="H16" i="6"/>
  <c r="T22" i="6"/>
  <c r="V29" i="6"/>
  <c r="E32" i="6"/>
  <c r="O13" i="6"/>
  <c r="E20" i="6"/>
  <c r="G13" i="6"/>
  <c r="V16" i="6"/>
  <c r="L23" i="6"/>
  <c r="X29" i="6"/>
  <c r="Q13" i="6"/>
  <c r="Z35" i="6"/>
  <c r="X22" i="6"/>
  <c r="X16" i="6"/>
  <c r="X26" i="6"/>
  <c r="S33" i="6"/>
  <c r="E37" i="6"/>
  <c r="H13" i="6"/>
  <c r="T19" i="6"/>
  <c r="J26" i="6"/>
  <c r="V32" i="6"/>
  <c r="Y36" i="6"/>
  <c r="U13" i="6"/>
  <c r="K20" i="6"/>
  <c r="W26" i="6"/>
  <c r="M33" i="6"/>
  <c r="G23" i="6"/>
  <c r="H35" i="6"/>
  <c r="S13" i="6"/>
  <c r="N15" i="6"/>
  <c r="Z21" i="6"/>
  <c r="P28" i="6"/>
  <c r="F35" i="6"/>
  <c r="U30" i="6"/>
  <c r="M35" i="6"/>
  <c r="O15" i="6"/>
  <c r="S29" i="6"/>
  <c r="L34" i="6"/>
  <c r="F16" i="6"/>
  <c r="R22" i="6"/>
  <c r="H29" i="6"/>
  <c r="R31" i="6"/>
  <c r="Q15" i="6"/>
  <c r="G22" i="6"/>
  <c r="S28" i="6"/>
  <c r="I35" i="6"/>
  <c r="X36" i="6"/>
  <c r="Y22" i="6"/>
  <c r="T16" i="6"/>
  <c r="J23" i="6"/>
  <c r="L30" i="6"/>
  <c r="W35" i="6"/>
  <c r="E14" i="6"/>
  <c r="Q20" i="6"/>
  <c r="K21" i="6"/>
  <c r="L17" i="6"/>
  <c r="X23" i="6"/>
  <c r="N30" i="6"/>
  <c r="G14" i="6"/>
  <c r="S20" i="6"/>
  <c r="I27" i="6"/>
  <c r="N23" i="6"/>
  <c r="O31" i="6"/>
  <c r="F15" i="6"/>
  <c r="O12" i="6"/>
  <c r="T13" i="6"/>
  <c r="J20" i="6"/>
  <c r="V26" i="6"/>
  <c r="L33" i="6"/>
  <c r="J34" i="6"/>
  <c r="K14" i="6"/>
  <c r="W20" i="6"/>
  <c r="M27" i="6"/>
  <c r="Y33" i="6"/>
  <c r="U24" i="6"/>
  <c r="J36" i="6"/>
  <c r="I20" i="6"/>
  <c r="Z15" i="6"/>
  <c r="P22" i="6"/>
  <c r="F29" i="6"/>
  <c r="R35" i="6"/>
  <c r="M32" i="6"/>
  <c r="X34" i="6"/>
  <c r="E16" i="6"/>
  <c r="K31" i="6"/>
  <c r="K15" i="6"/>
  <c r="R16" i="6"/>
  <c r="H23" i="6"/>
  <c r="T29" i="6"/>
  <c r="Q12" i="6"/>
  <c r="G16" i="6"/>
  <c r="S22" i="6"/>
  <c r="I29" i="6"/>
  <c r="U35" i="6"/>
  <c r="Z37" i="6"/>
  <c r="U26" i="6"/>
  <c r="J17" i="6"/>
  <c r="V23" i="6"/>
  <c r="N31" i="6"/>
  <c r="H33" i="6"/>
  <c r="Q14" i="6"/>
  <c r="G21" i="6"/>
  <c r="K27" i="6"/>
  <c r="X17" i="6"/>
  <c r="N24" i="6"/>
  <c r="Z30" i="6"/>
  <c r="S14" i="6"/>
  <c r="I21" i="6"/>
  <c r="U27" i="6"/>
  <c r="W21" i="6"/>
  <c r="N17" i="6"/>
  <c r="Z23" i="6"/>
  <c r="P30" i="6"/>
  <c r="P12" i="6"/>
  <c r="Y29" i="6"/>
  <c r="T20" i="6"/>
  <c r="S17" i="6"/>
  <c r="K25" i="6"/>
  <c r="O20" i="6"/>
  <c r="E26" i="6"/>
  <c r="V21" i="6"/>
  <c r="J14" i="6"/>
  <c r="V20" i="6"/>
  <c r="L27" i="6"/>
  <c r="X33" i="6"/>
  <c r="S32" i="6"/>
  <c r="W14" i="6"/>
  <c r="M21" i="6"/>
  <c r="Y27" i="6"/>
  <c r="O34" i="6"/>
  <c r="W25" i="6"/>
  <c r="X37" i="6"/>
  <c r="S25" i="6"/>
  <c r="P16" i="6"/>
  <c r="F23" i="6"/>
  <c r="R29" i="6"/>
  <c r="H36" i="6"/>
  <c r="E34" i="6"/>
  <c r="Y16" i="6"/>
  <c r="Q16" i="6"/>
  <c r="O33" i="6"/>
  <c r="M22" i="6"/>
  <c r="H17" i="6"/>
  <c r="T23" i="6"/>
  <c r="J30" i="6"/>
  <c r="E18" i="6"/>
  <c r="S16" i="6"/>
  <c r="I23" i="6"/>
  <c r="U29" i="6"/>
  <c r="K36" i="6"/>
  <c r="I22" i="6"/>
  <c r="G31" i="6"/>
  <c r="V17" i="6"/>
  <c r="L24" i="6"/>
  <c r="P32" i="6"/>
  <c r="I33" i="6"/>
  <c r="G15" i="6"/>
  <c r="S21" i="6"/>
  <c r="M34" i="6"/>
  <c r="N18" i="6"/>
  <c r="Z24" i="6"/>
  <c r="P31" i="6"/>
  <c r="I15" i="6"/>
  <c r="U21" i="6"/>
  <c r="K28" i="6"/>
  <c r="O29" i="6"/>
  <c r="Z17" i="6"/>
  <c r="P24" i="6"/>
  <c r="F31" i="6"/>
  <c r="P36" i="6"/>
  <c r="M29" i="6"/>
  <c r="E12" i="6"/>
  <c r="H26" i="6"/>
  <c r="G12" i="6"/>
  <c r="L20" i="6"/>
  <c r="P27" i="6"/>
  <c r="T32" i="6"/>
  <c r="J22" i="6"/>
  <c r="V14" i="6"/>
  <c r="L21" i="6"/>
  <c r="X27" i="6"/>
  <c r="N34" i="6"/>
  <c r="H32" i="6"/>
  <c r="M15" i="6"/>
  <c r="Y21" i="6"/>
  <c r="O28" i="6"/>
  <c r="E35" i="6"/>
  <c r="O27" i="6"/>
  <c r="O25" i="6"/>
  <c r="Y28" i="6"/>
  <c r="F17" i="6"/>
  <c r="R23" i="6"/>
  <c r="H30" i="6"/>
  <c r="T36" i="6"/>
  <c r="S35" i="6"/>
  <c r="E24" i="6"/>
  <c r="G17" i="6"/>
  <c r="G35" i="6"/>
  <c r="E30" i="6"/>
  <c r="T17" i="6"/>
  <c r="J24" i="6"/>
  <c r="V30" i="6"/>
  <c r="O23" i="6"/>
  <c r="I17" i="6"/>
  <c r="U23" i="6"/>
  <c r="K30" i="6"/>
  <c r="W36" i="6"/>
  <c r="G27" i="6"/>
  <c r="O35" i="6"/>
  <c r="L18" i="6"/>
  <c r="X24" i="6"/>
  <c r="R33" i="6"/>
  <c r="J33" i="6"/>
  <c r="S15" i="6"/>
  <c r="K23" i="6"/>
  <c r="N12" i="6"/>
  <c r="Z18" i="6"/>
  <c r="P25" i="6"/>
  <c r="L35" i="6"/>
  <c r="U15" i="6"/>
  <c r="K22" i="6"/>
  <c r="W28" i="6"/>
  <c r="E36" i="6"/>
  <c r="P18" i="6"/>
  <c r="F25" i="6"/>
  <c r="W22" i="6"/>
  <c r="F19" i="6"/>
  <c r="F13" i="6"/>
  <c r="J27" i="6"/>
  <c r="O36" i="6"/>
  <c r="N14" i="6"/>
  <c r="E27" i="6"/>
  <c r="Y18" i="6"/>
  <c r="G32" i="6"/>
  <c r="L15" i="6"/>
  <c r="X21" i="6"/>
  <c r="N28" i="6"/>
  <c r="Z34" i="6"/>
  <c r="M16" i="6"/>
  <c r="Y15" i="6"/>
  <c r="O22" i="6"/>
  <c r="E29" i="6"/>
  <c r="Q35" i="6"/>
  <c r="Q28" i="6"/>
  <c r="W29" i="6"/>
  <c r="W33" i="6"/>
  <c r="R17" i="6"/>
  <c r="H24" i="6"/>
  <c r="T30" i="6"/>
  <c r="J37" i="6"/>
  <c r="U36" i="6"/>
  <c r="S31" i="6"/>
  <c r="I18" i="6"/>
  <c r="W37" i="6"/>
  <c r="Q36" i="6"/>
  <c r="J18" i="6"/>
  <c r="V24" i="6"/>
  <c r="L31" i="6"/>
  <c r="W27" i="6"/>
  <c r="U17" i="6"/>
  <c r="K24" i="6"/>
  <c r="W30" i="6"/>
  <c r="M37" i="6"/>
  <c r="Y30" i="6"/>
  <c r="L12" i="6"/>
  <c r="X18" i="6"/>
  <c r="N25" i="6"/>
  <c r="T34" i="6"/>
  <c r="I14" i="6"/>
  <c r="I16" i="6"/>
  <c r="W23" i="6"/>
  <c r="Z12" i="6"/>
  <c r="P19" i="6"/>
  <c r="F26" i="6"/>
  <c r="Y35" i="6"/>
  <c r="K16" i="6"/>
  <c r="R25" i="6"/>
  <c r="R19" i="6"/>
  <c r="I25" i="6"/>
  <c r="W13" i="6"/>
  <c r="R21" i="6"/>
  <c r="E19" i="6"/>
  <c r="E39" i="6" s="1"/>
  <c r="X15" i="6"/>
  <c r="N22" i="6"/>
  <c r="Z28" i="6"/>
  <c r="P35" i="6"/>
  <c r="U20" i="6"/>
  <c r="O16" i="6"/>
  <c r="E23" i="6"/>
  <c r="Q29" i="6"/>
  <c r="G36" i="6"/>
  <c r="I30" i="6"/>
  <c r="G33" i="6"/>
  <c r="G37" i="6"/>
  <c r="H18" i="6"/>
  <c r="T24" i="6"/>
  <c r="J31" i="6"/>
  <c r="V37" i="6"/>
  <c r="P33" i="6"/>
  <c r="S37" i="6"/>
  <c r="K19" i="6"/>
  <c r="R34" i="6"/>
  <c r="J12" i="6"/>
  <c r="V18" i="6"/>
  <c r="L25" i="6"/>
  <c r="X31" i="6"/>
  <c r="K33" i="6"/>
  <c r="K18" i="6"/>
  <c r="W24" i="6"/>
  <c r="M31" i="6"/>
  <c r="Y37" i="6"/>
  <c r="K35" i="6"/>
  <c r="X12" i="6"/>
  <c r="N19" i="6"/>
  <c r="Z25" i="6"/>
  <c r="J35" i="6"/>
  <c r="G19" i="6"/>
  <c r="U16" i="6"/>
  <c r="Q26" i="6"/>
  <c r="P13" i="6"/>
  <c r="F20" i="6"/>
  <c r="R26" i="6"/>
  <c r="N35" i="6"/>
  <c r="W16" i="6"/>
  <c r="M23" i="6"/>
  <c r="S19" i="6"/>
  <c r="U31" i="6"/>
  <c r="U34" i="6"/>
  <c r="H28" i="6"/>
  <c r="Q25" i="6"/>
  <c r="N16" i="6"/>
  <c r="Z22" i="6"/>
  <c r="P29" i="6"/>
  <c r="F36" i="6"/>
  <c r="I26" i="6"/>
  <c r="E17" i="6"/>
  <c r="Q23" i="6"/>
  <c r="G30" i="6"/>
  <c r="S36" i="6"/>
  <c r="W31" i="6"/>
  <c r="M36" i="6"/>
  <c r="H12" i="6"/>
  <c r="T18" i="6"/>
  <c r="J25" i="6"/>
  <c r="V31" i="6"/>
  <c r="U18" i="6"/>
  <c r="T35" i="6"/>
  <c r="I12" i="6"/>
  <c r="W19" i="6"/>
  <c r="V36" i="6"/>
  <c r="V12" i="6"/>
  <c r="L19" i="6"/>
  <c r="X25" i="6"/>
  <c r="N32" i="6"/>
  <c r="K12" i="6"/>
  <c r="W18" i="6"/>
  <c r="M25" i="6"/>
  <c r="Y31" i="6"/>
  <c r="J29" i="6"/>
  <c r="F32" i="6"/>
  <c r="N13" i="6"/>
  <c r="Z19" i="6"/>
  <c r="P26" i="6"/>
  <c r="L36" i="6"/>
  <c r="G25" i="6"/>
  <c r="K17" i="6"/>
  <c r="M30" i="6"/>
  <c r="F14" i="6"/>
  <c r="R20" i="6"/>
  <c r="H27" i="6"/>
  <c r="O17" i="6"/>
  <c r="M17" i="6"/>
  <c r="Y23" i="6"/>
  <c r="O30" i="6"/>
  <c r="R13" i="6"/>
  <c r="H20" i="6"/>
  <c r="T26" i="6"/>
  <c r="H21" i="6"/>
  <c r="Q24" i="6"/>
  <c r="O24" i="6"/>
  <c r="H14" i="6"/>
  <c r="I36" i="6"/>
  <c r="N33" i="6"/>
  <c r="Y13" i="6"/>
  <c r="M12" i="6"/>
  <c r="J15" i="6"/>
  <c r="Z16" i="6"/>
  <c r="P23" i="6"/>
  <c r="F30" i="6"/>
  <c r="R36" i="6"/>
  <c r="Q30" i="6"/>
  <c r="Q17" i="6"/>
  <c r="G24" i="6"/>
  <c r="S30" i="6"/>
  <c r="I37" i="6"/>
  <c r="Y32" i="6"/>
  <c r="R32" i="6"/>
  <c r="T12" i="6"/>
  <c r="J19" i="6"/>
  <c r="V25" i="6"/>
  <c r="L32" i="6"/>
  <c r="O21" i="6"/>
  <c r="L37" i="6"/>
  <c r="U12" i="6"/>
  <c r="Y20" i="6"/>
  <c r="M24" i="6"/>
  <c r="L13" i="6"/>
  <c r="X19" i="6"/>
  <c r="N26" i="6"/>
  <c r="Z32" i="6"/>
  <c r="W12" i="6"/>
  <c r="M19" i="6"/>
  <c r="Y25" i="6"/>
  <c r="O32" i="6"/>
  <c r="X30" i="6"/>
  <c r="P37" i="6"/>
  <c r="Z13" i="6"/>
  <c r="P20" i="6"/>
  <c r="F27" i="6"/>
  <c r="N37" i="6"/>
  <c r="M28" i="6"/>
  <c r="W17" i="6"/>
  <c r="I34" i="6"/>
  <c r="R14" i="6"/>
  <c r="T27" i="6"/>
  <c r="Y17" i="6"/>
  <c r="E31" i="6"/>
  <c r="P17" i="6"/>
  <c r="F24" i="6"/>
  <c r="R30" i="6"/>
  <c r="H37" i="6"/>
  <c r="Y34" i="6"/>
  <c r="G18" i="6"/>
  <c r="S24" i="6"/>
  <c r="I31" i="6"/>
  <c r="U37" i="6"/>
  <c r="Q34" i="6"/>
  <c r="Z36" i="6"/>
  <c r="J13" i="6"/>
  <c r="V19" i="6"/>
  <c r="L26" i="6"/>
  <c r="X32" i="6"/>
  <c r="S23" i="6"/>
  <c r="Y24" i="6"/>
  <c r="K13" i="6"/>
  <c r="Q22" i="6"/>
  <c r="K29" i="6"/>
  <c r="X13" i="6"/>
  <c r="N20" i="6"/>
  <c r="Z26" i="6"/>
  <c r="S27" i="6"/>
  <c r="M13" i="6"/>
  <c r="Y19" i="6"/>
  <c r="O26" i="6"/>
  <c r="E33" i="6"/>
  <c r="Z31" i="6"/>
  <c r="Q37" i="6"/>
  <c r="P14" i="6"/>
  <c r="F21" i="6"/>
  <c r="R27" i="6"/>
  <c r="U22" i="6"/>
  <c r="U32" i="6"/>
  <c r="M18" i="6"/>
  <c r="N36" i="6"/>
  <c r="H15" i="6"/>
  <c r="T21" i="6"/>
  <c r="J28" i="6"/>
  <c r="I32" i="6"/>
  <c r="O18" i="6"/>
  <c r="E25" i="6"/>
  <c r="Q31" i="6"/>
  <c r="T14" i="6"/>
  <c r="J21" i="6"/>
  <c r="V27" i="6"/>
  <c r="F18" i="6"/>
  <c r="R24" i="6"/>
  <c r="H31" i="6"/>
  <c r="T37" i="6"/>
  <c r="S18" i="6"/>
  <c r="V13" i="6"/>
  <c r="Z20" i="6"/>
  <c r="F33" i="6"/>
  <c r="V28" i="6"/>
  <c r="AW13" i="5"/>
  <c r="BS13" i="5" s="1"/>
  <c r="CO13" i="5" s="1"/>
  <c r="DK13" i="5" s="1"/>
  <c r="EG13" i="5" s="1"/>
  <c r="FC13" i="5" s="1"/>
  <c r="FY13" i="5" s="1"/>
  <c r="GU13" i="5" l="1"/>
  <c r="HQ13" i="5" s="1"/>
  <c r="IM13" i="5" s="1"/>
  <c r="JI13" i="5" s="1"/>
  <c r="KE13" i="5" s="1"/>
  <c r="F38" i="4"/>
  <c r="H38" i="4" s="1"/>
  <c r="B35" i="4"/>
  <c r="B34" i="4"/>
  <c r="B33" i="4"/>
  <c r="B32" i="4"/>
  <c r="B31" i="4"/>
  <c r="B30" i="4"/>
  <c r="B29" i="4"/>
  <c r="B28" i="4"/>
  <c r="B26" i="4"/>
  <c r="B25" i="4"/>
  <c r="B24" i="4"/>
  <c r="B23" i="4"/>
  <c r="B19" i="4"/>
  <c r="B18" i="4"/>
  <c r="B22" i="4"/>
  <c r="B21" i="4"/>
  <c r="B20" i="4"/>
  <c r="B17" i="4"/>
  <c r="B16" i="4"/>
  <c r="F15" i="4"/>
  <c r="H15" i="4" s="1"/>
  <c r="B15" i="4"/>
  <c r="B14" i="4"/>
  <c r="AA11" i="6" l="1"/>
  <c r="AA5" i="7"/>
  <c r="AB11" i="6"/>
  <c r="AB5" i="7"/>
  <c r="AC11" i="6"/>
  <c r="AC5" i="7"/>
  <c r="F66" i="7"/>
  <c r="Y66" i="7"/>
  <c r="F20" i="4"/>
  <c r="H20" i="4" s="1"/>
  <c r="I66" i="7"/>
  <c r="F24" i="4"/>
  <c r="O66" i="7"/>
  <c r="F31" i="4"/>
  <c r="V66" i="7"/>
  <c r="F37" i="4"/>
  <c r="H37" i="4" s="1"/>
  <c r="F28" i="4"/>
  <c r="S66" i="7"/>
  <c r="E66" i="7"/>
  <c r="E75" i="7" s="1"/>
  <c r="F22" i="4"/>
  <c r="H22" i="4" s="1"/>
  <c r="K66" i="7"/>
  <c r="L66" i="7"/>
  <c r="F17" i="4"/>
  <c r="H66" i="7"/>
  <c r="F23" i="4"/>
  <c r="N66" i="7"/>
  <c r="F30" i="4"/>
  <c r="U66" i="7"/>
  <c r="F25" i="4"/>
  <c r="P66" i="7"/>
  <c r="F32" i="4"/>
  <c r="W66" i="7"/>
  <c r="F21" i="4"/>
  <c r="H21" i="4" s="1"/>
  <c r="J66" i="7"/>
  <c r="F33" i="4"/>
  <c r="X66" i="7"/>
  <c r="F19" i="4"/>
  <c r="H19" i="4" s="1"/>
  <c r="M66" i="7"/>
  <c r="T66" i="7"/>
  <c r="F16" i="4"/>
  <c r="G66" i="7"/>
  <c r="Z66" i="7"/>
  <c r="F35" i="4"/>
  <c r="F18" i="4"/>
  <c r="H18" i="4" s="1"/>
  <c r="F29" i="4"/>
  <c r="F35" i="7"/>
  <c r="F34" i="4"/>
  <c r="O35" i="7" l="1"/>
  <c r="H24" i="4"/>
  <c r="Y35" i="7"/>
  <c r="H34" i="4"/>
  <c r="X35" i="7"/>
  <c r="H33" i="4"/>
  <c r="H35" i="7"/>
  <c r="H17" i="4"/>
  <c r="T35" i="7"/>
  <c r="H29" i="4"/>
  <c r="N35" i="7"/>
  <c r="H23" i="4"/>
  <c r="Z35" i="7"/>
  <c r="H35" i="4"/>
  <c r="W35" i="7"/>
  <c r="H32" i="4"/>
  <c r="P35" i="7"/>
  <c r="H25" i="4"/>
  <c r="S35" i="7"/>
  <c r="H28" i="4"/>
  <c r="G35" i="7"/>
  <c r="H16" i="4"/>
  <c r="U35" i="7"/>
  <c r="H30" i="4"/>
  <c r="V35" i="7"/>
  <c r="H31" i="4"/>
  <c r="K35" i="7"/>
  <c r="L35" i="7"/>
  <c r="M35" i="7"/>
  <c r="J35" i="7"/>
  <c r="I35" i="7"/>
  <c r="AB67" i="7"/>
  <c r="AB66" i="7" s="1"/>
  <c r="AB36" i="7"/>
  <c r="AB35" i="7" s="1"/>
  <c r="AA67" i="7"/>
  <c r="AA66" i="7" s="1"/>
  <c r="AA36" i="7"/>
  <c r="AA35" i="7" s="1"/>
  <c r="AC36" i="7"/>
  <c r="AC35" i="7" s="1"/>
  <c r="AC67" i="7"/>
  <c r="AC66" i="7" s="1"/>
  <c r="AC74" i="7" s="1"/>
  <c r="J84" i="7" l="1"/>
  <c r="I84" i="7"/>
  <c r="M84" i="7"/>
  <c r="E84" i="7"/>
  <c r="E83" i="7"/>
  <c r="P50" i="7"/>
  <c r="X68" i="7"/>
  <c r="L55" i="7"/>
  <c r="G78" i="7"/>
  <c r="N54" i="7"/>
  <c r="X83" i="7"/>
  <c r="O91" i="7"/>
  <c r="W82" i="7"/>
  <c r="J43" i="7"/>
  <c r="U55" i="7"/>
  <c r="M71" i="7"/>
  <c r="H86" i="7"/>
  <c r="N60" i="7"/>
  <c r="V80" i="7"/>
  <c r="X47" i="7"/>
  <c r="X86" i="7"/>
  <c r="K82" i="7"/>
  <c r="T56" i="7"/>
  <c r="G71" i="7"/>
  <c r="P71" i="7"/>
  <c r="S51" i="7"/>
  <c r="J51" i="7"/>
  <c r="T91" i="7"/>
  <c r="L85" i="7"/>
  <c r="I86" i="7"/>
  <c r="S62" i="7"/>
  <c r="Y43" i="7"/>
  <c r="V90" i="7"/>
  <c r="O81" i="7"/>
  <c r="K93" i="7"/>
  <c r="S85" i="7"/>
  <c r="G49" i="7"/>
  <c r="U89" i="7"/>
  <c r="U81" i="7"/>
  <c r="V54" i="7"/>
  <c r="O76" i="7"/>
  <c r="Z71" i="7"/>
  <c r="H74" i="7"/>
  <c r="F59" i="7"/>
  <c r="E80" i="7"/>
  <c r="N78" i="7"/>
  <c r="I85" i="7"/>
  <c r="Y78" i="7"/>
  <c r="F80" i="7"/>
  <c r="O90" i="7"/>
  <c r="Z57" i="7"/>
  <c r="U68" i="7"/>
  <c r="G56" i="7"/>
  <c r="L90" i="7"/>
  <c r="W77" i="7"/>
  <c r="U40" i="7"/>
  <c r="E85" i="7"/>
  <c r="Z45" i="7"/>
  <c r="U76" i="7"/>
  <c r="V76" i="7"/>
  <c r="G81" i="7"/>
  <c r="G46" i="7"/>
  <c r="J54" i="7"/>
  <c r="O82" i="7"/>
  <c r="N90" i="7"/>
  <c r="P52" i="7"/>
  <c r="Y55" i="7"/>
  <c r="X80" i="7"/>
  <c r="V82" i="7"/>
  <c r="O58" i="7"/>
  <c r="E89" i="7"/>
  <c r="W76" i="7"/>
  <c r="J57" i="7"/>
  <c r="K43" i="7"/>
  <c r="H90" i="7"/>
  <c r="I90" i="7"/>
  <c r="P85" i="7"/>
  <c r="X88" i="7"/>
  <c r="J45" i="7"/>
  <c r="E93" i="7"/>
  <c r="E78" i="7"/>
  <c r="G55" i="7"/>
  <c r="E74" i="7"/>
  <c r="O49" i="7"/>
  <c r="M55" i="7"/>
  <c r="N51" i="7"/>
  <c r="N46" i="7"/>
  <c r="K89" i="7"/>
  <c r="U80" i="7"/>
  <c r="W60" i="7"/>
  <c r="K85" i="7"/>
  <c r="AA93" i="7"/>
  <c r="H91" i="7"/>
  <c r="H57" i="7"/>
  <c r="U56" i="7"/>
  <c r="S58" i="7"/>
  <c r="I91" i="7"/>
  <c r="H45" i="7"/>
  <c r="E81" i="7"/>
  <c r="S61" i="7"/>
  <c r="F85" i="7"/>
  <c r="T77" i="7"/>
  <c r="T85" i="7"/>
  <c r="J83" i="7"/>
  <c r="S55" i="7"/>
  <c r="Z85" i="7"/>
  <c r="Z47" i="7"/>
  <c r="Y89" i="7"/>
  <c r="I88" i="7"/>
  <c r="V60" i="7"/>
  <c r="O54" i="7"/>
  <c r="V92" i="7"/>
  <c r="P48" i="7"/>
  <c r="N55" i="7"/>
  <c r="M76" i="7"/>
  <c r="T48" i="7"/>
  <c r="W43" i="7"/>
  <c r="K81" i="7"/>
  <c r="S88" i="7"/>
  <c r="U90" i="7"/>
  <c r="F71" i="7"/>
  <c r="L78" i="7"/>
  <c r="I48" i="7"/>
  <c r="E82" i="7"/>
  <c r="X56" i="7"/>
  <c r="S78" i="7"/>
  <c r="G59" i="7"/>
  <c r="I82" i="7"/>
  <c r="W78" i="7"/>
  <c r="P78" i="7"/>
  <c r="F83" i="7"/>
  <c r="M43" i="7"/>
  <c r="J58" i="7"/>
  <c r="L74" i="7"/>
  <c r="M56" i="7"/>
  <c r="U43" i="7"/>
  <c r="X61" i="7"/>
  <c r="K45" i="7"/>
  <c r="I76" i="7"/>
  <c r="M61" i="7"/>
  <c r="L58" i="7"/>
  <c r="G54" i="7"/>
  <c r="J71" i="7"/>
  <c r="U54" i="7"/>
  <c r="N93" i="7"/>
  <c r="W85" i="7"/>
  <c r="X48" i="7"/>
  <c r="L45" i="7"/>
  <c r="L56" i="7"/>
  <c r="T55" i="7"/>
  <c r="V86" i="7"/>
  <c r="S60" i="7"/>
  <c r="F43" i="7"/>
  <c r="N89" i="7"/>
  <c r="J50" i="7"/>
  <c r="Y68" i="7"/>
  <c r="M81" i="7"/>
  <c r="P43" i="7"/>
  <c r="L62" i="7"/>
  <c r="Z62" i="7"/>
  <c r="I71" i="7"/>
  <c r="L83" i="7"/>
  <c r="Y48" i="7"/>
  <c r="M85" i="7"/>
  <c r="M47" i="7"/>
  <c r="O78" i="7"/>
  <c r="U93" i="7"/>
  <c r="F56" i="7"/>
  <c r="Z56" i="7"/>
  <c r="F45" i="7"/>
  <c r="H50" i="7"/>
  <c r="N49" i="7"/>
  <c r="P57" i="7"/>
  <c r="Y85" i="7"/>
  <c r="N52" i="7"/>
  <c r="V89" i="7"/>
  <c r="W61" i="7"/>
  <c r="X51" i="7"/>
  <c r="W87" i="7"/>
  <c r="S83" i="7"/>
  <c r="Y59" i="7"/>
  <c r="U91" i="7"/>
  <c r="E79" i="7"/>
  <c r="F91" i="7"/>
  <c r="F78" i="7"/>
  <c r="T58" i="7"/>
  <c r="K86" i="7"/>
  <c r="H89" i="7"/>
  <c r="V69" i="7"/>
  <c r="P77" i="7"/>
  <c r="S43" i="7"/>
  <c r="Z43" i="7"/>
  <c r="S81" i="7"/>
  <c r="L40" i="7"/>
  <c r="O62" i="7"/>
  <c r="I49" i="7"/>
  <c r="X62" i="7"/>
  <c r="G79" i="7"/>
  <c r="V83" i="7"/>
  <c r="L91" i="7"/>
  <c r="O88" i="7"/>
  <c r="M57" i="7"/>
  <c r="K61" i="7"/>
  <c r="H92" i="7"/>
  <c r="Y57" i="7"/>
  <c r="T83" i="7"/>
  <c r="J55" i="7"/>
  <c r="G91" i="7"/>
  <c r="E90" i="7"/>
  <c r="U69" i="7"/>
  <c r="H77" i="7"/>
  <c r="P76" i="7"/>
  <c r="Y60" i="7"/>
  <c r="V71" i="7"/>
  <c r="V46" i="7"/>
  <c r="X81" i="7"/>
  <c r="Z86" i="7"/>
  <c r="N79" i="7"/>
  <c r="Z89" i="7"/>
  <c r="O43" i="7"/>
  <c r="P93" i="7"/>
  <c r="E92" i="7"/>
  <c r="K56" i="7"/>
  <c r="Y61" i="7"/>
  <c r="Y82" i="7"/>
  <c r="L79" i="7"/>
  <c r="V62" i="7"/>
  <c r="X74" i="7"/>
  <c r="W79" i="7"/>
  <c r="X69" i="7"/>
  <c r="P87" i="7"/>
  <c r="J46" i="7"/>
  <c r="K49" i="7"/>
  <c r="W49" i="7"/>
  <c r="H56" i="7"/>
  <c r="V78" i="7"/>
  <c r="I47" i="7"/>
  <c r="I89" i="7"/>
  <c r="F61" i="7"/>
  <c r="O56" i="7"/>
  <c r="E87" i="7"/>
  <c r="J87" i="7"/>
  <c r="M59" i="7"/>
  <c r="Y62" i="7"/>
  <c r="X77" i="7"/>
  <c r="W38" i="7"/>
  <c r="W62" i="7"/>
  <c r="K57" i="7"/>
  <c r="Y40" i="7"/>
  <c r="O77" i="7"/>
  <c r="W50" i="7"/>
  <c r="K48" i="7"/>
  <c r="T47" i="7"/>
  <c r="G62" i="7"/>
  <c r="S40" i="7"/>
  <c r="X76" i="7"/>
  <c r="E88" i="7"/>
  <c r="I52" i="7"/>
  <c r="F58" i="7"/>
  <c r="W88" i="7"/>
  <c r="W40" i="7"/>
  <c r="V57" i="7"/>
  <c r="F82" i="7"/>
  <c r="X60" i="7"/>
  <c r="Z60" i="7"/>
  <c r="T92" i="7"/>
  <c r="P61" i="7"/>
  <c r="J48" i="7"/>
  <c r="Y69" i="7"/>
  <c r="F55" i="7"/>
  <c r="U47" i="7"/>
  <c r="J60" i="7"/>
  <c r="V37" i="7"/>
  <c r="J47" i="7"/>
  <c r="W90" i="7"/>
  <c r="M93" i="7"/>
  <c r="K71" i="7"/>
  <c r="J59" i="7"/>
  <c r="T90" i="7"/>
  <c r="P86" i="7"/>
  <c r="X58" i="7"/>
  <c r="T50" i="7"/>
  <c r="V70" i="7"/>
  <c r="Z39" i="7"/>
  <c r="I77" i="7"/>
  <c r="N50" i="7"/>
  <c r="V79" i="7"/>
  <c r="H78" i="7"/>
  <c r="I93" i="7"/>
  <c r="K78" i="7"/>
  <c r="U48" i="7"/>
  <c r="V87" i="7"/>
  <c r="T93" i="7"/>
  <c r="N92" i="7"/>
  <c r="O83" i="7"/>
  <c r="W58" i="7"/>
  <c r="I74" i="7"/>
  <c r="U70" i="7"/>
  <c r="AC90" i="7"/>
  <c r="L49" i="7"/>
  <c r="G76" i="7"/>
  <c r="V81" i="7"/>
  <c r="F62" i="7"/>
  <c r="T43" i="7"/>
  <c r="Z92" i="7"/>
  <c r="P60" i="7"/>
  <c r="H48" i="7"/>
  <c r="W83" i="7"/>
  <c r="W37" i="7"/>
  <c r="S69" i="7"/>
  <c r="AC91" i="7"/>
  <c r="O86" i="7"/>
  <c r="Z52" i="7"/>
  <c r="N76" i="7"/>
  <c r="G61" i="7"/>
  <c r="M83" i="7"/>
  <c r="I81" i="7"/>
  <c r="S90" i="7"/>
  <c r="Z82" i="7"/>
  <c r="N74" i="7"/>
  <c r="X40" i="7"/>
  <c r="G43" i="7"/>
  <c r="Y80" i="7"/>
  <c r="O79" i="7"/>
  <c r="U61" i="7"/>
  <c r="S70" i="7"/>
  <c r="AC61" i="7"/>
  <c r="Z49" i="7"/>
  <c r="S56" i="7"/>
  <c r="H80" i="7"/>
  <c r="W86" i="7"/>
  <c r="U57" i="7"/>
  <c r="J80" i="7"/>
  <c r="S48" i="7"/>
  <c r="H54" i="7"/>
  <c r="M89" i="7"/>
  <c r="U52" i="7"/>
  <c r="P58" i="7"/>
  <c r="S46" i="7"/>
  <c r="H83" i="7"/>
  <c r="U77" i="7"/>
  <c r="P80" i="7"/>
  <c r="T40" i="7"/>
  <c r="I92" i="7"/>
  <c r="F81" i="7"/>
  <c r="AC51" i="7"/>
  <c r="AC42" i="7"/>
  <c r="H71" i="7"/>
  <c r="T80" i="7"/>
  <c r="V74" i="7"/>
  <c r="H93" i="7"/>
  <c r="L88" i="7"/>
  <c r="Z48" i="7"/>
  <c r="M49" i="7"/>
  <c r="Y50" i="7"/>
  <c r="M48" i="7"/>
  <c r="Z46" i="7"/>
  <c r="K52" i="7"/>
  <c r="F88" i="7"/>
  <c r="M82" i="7"/>
  <c r="I56" i="7"/>
  <c r="L61" i="7"/>
  <c r="Y70" i="7"/>
  <c r="Y83" i="7"/>
  <c r="N88" i="7"/>
  <c r="Z68" i="7"/>
  <c r="T45" i="7"/>
  <c r="P90" i="7"/>
  <c r="Z90" i="7"/>
  <c r="L51" i="7"/>
  <c r="G58" i="7"/>
  <c r="S76" i="7"/>
  <c r="T88" i="7"/>
  <c r="Z81" i="7"/>
  <c r="L81" i="7"/>
  <c r="G57" i="7"/>
  <c r="H82" i="7"/>
  <c r="K46" i="7"/>
  <c r="F77" i="7"/>
  <c r="J61" i="7"/>
  <c r="AC58" i="7"/>
  <c r="E91" i="7"/>
  <c r="E77" i="7"/>
  <c r="G52" i="7"/>
  <c r="N71" i="7"/>
  <c r="X90" i="7"/>
  <c r="T51" i="7"/>
  <c r="S49" i="7"/>
  <c r="E76" i="7"/>
  <c r="G82" i="7"/>
  <c r="O61" i="7"/>
  <c r="T37" i="7"/>
  <c r="Y56" i="7"/>
  <c r="U82" i="7"/>
  <c r="X70" i="7"/>
  <c r="T38" i="7"/>
  <c r="AC77" i="7"/>
  <c r="M91" i="7"/>
  <c r="E86" i="7"/>
  <c r="K91" i="7"/>
  <c r="Y46" i="7"/>
  <c r="X85" i="7"/>
  <c r="L77" i="7"/>
  <c r="S68" i="7"/>
  <c r="K59" i="7"/>
  <c r="Y45" i="7"/>
  <c r="P82" i="7"/>
  <c r="J93" i="7"/>
  <c r="M46" i="7"/>
  <c r="W70" i="7"/>
  <c r="Z69" i="7"/>
  <c r="AC48" i="7"/>
  <c r="AC68" i="7"/>
  <c r="AC52" i="7"/>
  <c r="T42" i="7"/>
  <c r="AC87" i="7"/>
  <c r="J72" i="7"/>
  <c r="AA85" i="7"/>
  <c r="Y73" i="7"/>
  <c r="AA89" i="7"/>
  <c r="Z72" i="7"/>
  <c r="AA48" i="7"/>
  <c r="E73" i="7"/>
  <c r="AC50" i="7"/>
  <c r="AA46" i="7"/>
  <c r="AB81" i="7"/>
  <c r="V42" i="7"/>
  <c r="AC54" i="7"/>
  <c r="AA47" i="7"/>
  <c r="L72" i="7"/>
  <c r="AA49" i="7"/>
  <c r="AB68" i="7"/>
  <c r="M73" i="7"/>
  <c r="AC47" i="7"/>
  <c r="AA57" i="7"/>
  <c r="AB90" i="7"/>
  <c r="F72" i="7"/>
  <c r="AC80" i="7"/>
  <c r="AA56" i="7"/>
  <c r="AB70" i="7"/>
  <c r="V41" i="7"/>
  <c r="AC88" i="7"/>
  <c r="AA74" i="7"/>
  <c r="W42" i="7"/>
  <c r="AA52" i="7"/>
  <c r="AB57" i="7"/>
  <c r="AB92" i="7"/>
  <c r="H41" i="7"/>
  <c r="K41" i="7"/>
  <c r="O72" i="7"/>
  <c r="O73" i="7"/>
  <c r="AA60" i="7"/>
  <c r="AB45" i="7"/>
  <c r="AB85" i="7"/>
  <c r="X72" i="7"/>
  <c r="F42" i="7"/>
  <c r="E72" i="7"/>
  <c r="Z73" i="7"/>
  <c r="AA86" i="7"/>
  <c r="AB56" i="7"/>
  <c r="AB47" i="7"/>
  <c r="P72" i="7"/>
  <c r="S73" i="7"/>
  <c r="AB72" i="7"/>
  <c r="AA71" i="7"/>
  <c r="AB93" i="7"/>
  <c r="U42" i="7"/>
  <c r="U72" i="7"/>
  <c r="T72" i="7"/>
  <c r="S41" i="7"/>
  <c r="AC55" i="7"/>
  <c r="AC69" i="7"/>
  <c r="AA51" i="7"/>
  <c r="AA38" i="7"/>
  <c r="AB43" i="7"/>
  <c r="AB48" i="7"/>
  <c r="L73" i="7"/>
  <c r="AB73" i="7"/>
  <c r="X73" i="7"/>
  <c r="J42" i="7"/>
  <c r="F79" i="7"/>
  <c r="AC71" i="7"/>
  <c r="AC39" i="7"/>
  <c r="AA39" i="7"/>
  <c r="AB82" i="7"/>
  <c r="AB60" i="7"/>
  <c r="M72" i="7"/>
  <c r="N42" i="7"/>
  <c r="Y41" i="7"/>
  <c r="AA42" i="7"/>
  <c r="T70" i="7"/>
  <c r="AC76" i="7"/>
  <c r="AC93" i="7"/>
  <c r="AA68" i="7"/>
  <c r="AA81" i="7"/>
  <c r="AB46" i="7"/>
  <c r="AB58" i="7"/>
  <c r="I73" i="7"/>
  <c r="N72" i="7"/>
  <c r="P42" i="7"/>
  <c r="AA90" i="7"/>
  <c r="AA45" i="7"/>
  <c r="AB49" i="7"/>
  <c r="AB52" i="7"/>
  <c r="AC72" i="7"/>
  <c r="K73" i="7"/>
  <c r="W41" i="7"/>
  <c r="G73" i="7"/>
  <c r="AA92" i="7"/>
  <c r="AB86" i="7"/>
  <c r="AB69" i="7"/>
  <c r="H42" i="7"/>
  <c r="AA41" i="7"/>
  <c r="I41" i="7"/>
  <c r="G72" i="7"/>
  <c r="P30" i="1"/>
  <c r="P29" i="1"/>
  <c r="P28" i="1"/>
  <c r="P27" i="1"/>
  <c r="P26" i="1"/>
  <c r="P25" i="1"/>
  <c r="P24" i="1"/>
  <c r="P23" i="1"/>
  <c r="P22" i="1"/>
  <c r="P21" i="1"/>
  <c r="P20" i="1"/>
  <c r="P17" i="1"/>
  <c r="P16" i="1"/>
  <c r="P11" i="1"/>
  <c r="P10" i="1"/>
  <c r="P14" i="1"/>
  <c r="P13" i="1"/>
  <c r="P12" i="1"/>
  <c r="P9" i="1"/>
  <c r="P8" i="1"/>
  <c r="P7" i="1"/>
  <c r="M39" i="6" l="1"/>
  <c r="M75" i="7" s="1"/>
  <c r="J53" i="7"/>
  <c r="J22" i="7" s="1"/>
  <c r="I53" i="7"/>
  <c r="I22" i="7" s="1"/>
  <c r="M53" i="7"/>
  <c r="M22" i="7" s="1"/>
  <c r="AA53" i="7"/>
  <c r="AA84" i="7"/>
  <c r="AB53" i="7"/>
  <c r="AB84" i="7"/>
  <c r="AC84" i="7"/>
  <c r="AC53" i="7"/>
  <c r="N84" i="7"/>
  <c r="N53" i="7"/>
  <c r="T53" i="7"/>
  <c r="T84" i="7"/>
  <c r="Z53" i="7"/>
  <c r="Z84" i="7"/>
  <c r="F53" i="7"/>
  <c r="F84" i="7"/>
  <c r="H84" i="7"/>
  <c r="H53" i="7"/>
  <c r="W84" i="7"/>
  <c r="W53" i="7"/>
  <c r="O84" i="7"/>
  <c r="O53" i="7"/>
  <c r="G84" i="7"/>
  <c r="G53" i="7"/>
  <c r="S84" i="7"/>
  <c r="S53" i="7"/>
  <c r="X84" i="7"/>
  <c r="X53" i="7"/>
  <c r="V84" i="7"/>
  <c r="V53" i="7"/>
  <c r="Y53" i="7"/>
  <c r="Y84" i="7"/>
  <c r="K84" i="7"/>
  <c r="K53" i="7"/>
  <c r="U84" i="7"/>
  <c r="U53" i="7"/>
  <c r="L53" i="7"/>
  <c r="L84" i="7"/>
  <c r="P84" i="7"/>
  <c r="P53" i="7"/>
  <c r="P40" i="7"/>
  <c r="P9" i="7" s="1"/>
  <c r="P39" i="6"/>
  <c r="P44" i="7" s="1"/>
  <c r="J74" i="7"/>
  <c r="J12" i="7" s="1"/>
  <c r="M74" i="7"/>
  <c r="M12" i="7" s="1"/>
  <c r="V61" i="7"/>
  <c r="V30" i="7" s="1"/>
  <c r="S82" i="7"/>
  <c r="S20" i="7" s="1"/>
  <c r="U58" i="7"/>
  <c r="U27" i="7" s="1"/>
  <c r="K74" i="7"/>
  <c r="K12" i="7" s="1"/>
  <c r="T46" i="7"/>
  <c r="T15" i="7" s="1"/>
  <c r="Q39" i="6"/>
  <c r="F54" i="7"/>
  <c r="F23" i="7" s="1"/>
  <c r="P79" i="7"/>
  <c r="P17" i="7" s="1"/>
  <c r="V45" i="7"/>
  <c r="V14" i="7" s="1"/>
  <c r="F49" i="7"/>
  <c r="F18" i="7" s="1"/>
  <c r="U38" i="7"/>
  <c r="U7" i="7" s="1"/>
  <c r="L89" i="7"/>
  <c r="L27" i="7" s="1"/>
  <c r="G50" i="7"/>
  <c r="G19" i="7" s="1"/>
  <c r="M40" i="7"/>
  <c r="M9" i="7" s="1"/>
  <c r="X37" i="7"/>
  <c r="X6" i="7" s="1"/>
  <c r="Y79" i="7"/>
  <c r="Y17" i="7" s="1"/>
  <c r="W45" i="7"/>
  <c r="W14" i="7" s="1"/>
  <c r="P81" i="7"/>
  <c r="P19" i="7" s="1"/>
  <c r="O80" i="7"/>
  <c r="O18" i="7" s="1"/>
  <c r="U86" i="7"/>
  <c r="U24" i="7" s="1"/>
  <c r="S74" i="7"/>
  <c r="S12" i="7" s="1"/>
  <c r="N85" i="7"/>
  <c r="N23" i="7" s="1"/>
  <c r="Y38" i="7"/>
  <c r="Y7" i="7" s="1"/>
  <c r="H46" i="7"/>
  <c r="H15" i="7" s="1"/>
  <c r="L47" i="7"/>
  <c r="L16" i="7" s="1"/>
  <c r="H79" i="7"/>
  <c r="H17" i="7" s="1"/>
  <c r="X38" i="7"/>
  <c r="X7" i="7" s="1"/>
  <c r="O74" i="7"/>
  <c r="O12" i="7" s="1"/>
  <c r="H85" i="7"/>
  <c r="H23" i="7" s="1"/>
  <c r="I79" i="7"/>
  <c r="I17" i="7" s="1"/>
  <c r="Y90" i="7"/>
  <c r="Y28" i="7" s="1"/>
  <c r="AC46" i="7"/>
  <c r="AC15" i="7" s="1"/>
  <c r="J89" i="7"/>
  <c r="J27" i="7" s="1"/>
  <c r="S91" i="7"/>
  <c r="S29" i="7" s="1"/>
  <c r="O55" i="7"/>
  <c r="O24" i="7" s="1"/>
  <c r="K50" i="7"/>
  <c r="K19" i="7" s="1"/>
  <c r="T60" i="7"/>
  <c r="T29" i="7" s="1"/>
  <c r="G88" i="7"/>
  <c r="G26" i="7" s="1"/>
  <c r="Y58" i="7"/>
  <c r="Y27" i="7" s="1"/>
  <c r="Z55" i="7"/>
  <c r="Z24" i="7" s="1"/>
  <c r="V55" i="7"/>
  <c r="V24" i="7" s="1"/>
  <c r="Y47" i="7"/>
  <c r="Y16" i="7" s="1"/>
  <c r="K88" i="7"/>
  <c r="K26" i="7" s="1"/>
  <c r="K54" i="7"/>
  <c r="K23" i="7" s="1"/>
  <c r="O87" i="7"/>
  <c r="O25" i="7" s="1"/>
  <c r="L52" i="7"/>
  <c r="L21" i="7" s="1"/>
  <c r="P46" i="7"/>
  <c r="P15" i="7" s="1"/>
  <c r="G80" i="7"/>
  <c r="G18" i="7" s="1"/>
  <c r="I83" i="7"/>
  <c r="I21" i="7" s="1"/>
  <c r="U60" i="7"/>
  <c r="U29" i="7" s="1"/>
  <c r="U71" i="7"/>
  <c r="U9" i="7" s="1"/>
  <c r="U39" i="6"/>
  <c r="U75" i="7" s="1"/>
  <c r="K51" i="7"/>
  <c r="K20" i="7" s="1"/>
  <c r="K58" i="7"/>
  <c r="K27" i="7" s="1"/>
  <c r="I78" i="7"/>
  <c r="I16" i="7" s="1"/>
  <c r="L57" i="7"/>
  <c r="L26" i="7" s="1"/>
  <c r="G89" i="7"/>
  <c r="G27" i="7" s="1"/>
  <c r="J76" i="7"/>
  <c r="J14" i="7" s="1"/>
  <c r="H49" i="7"/>
  <c r="H18" i="7" s="1"/>
  <c r="O50" i="7"/>
  <c r="O19" i="7" s="1"/>
  <c r="AC59" i="7"/>
  <c r="AC28" i="7" s="1"/>
  <c r="K40" i="7"/>
  <c r="K9" i="7" s="1"/>
  <c r="Y88" i="7"/>
  <c r="Y26" i="7" s="1"/>
  <c r="V59" i="7"/>
  <c r="V28" i="7" s="1"/>
  <c r="Z91" i="7"/>
  <c r="Z29" i="7" s="1"/>
  <c r="L48" i="7"/>
  <c r="L17" i="7" s="1"/>
  <c r="W92" i="7"/>
  <c r="W30" i="7" s="1"/>
  <c r="S71" i="7"/>
  <c r="S9" i="7" s="1"/>
  <c r="H76" i="7"/>
  <c r="H14" i="7" s="1"/>
  <c r="Y86" i="7"/>
  <c r="Y24" i="7" s="1"/>
  <c r="X92" i="7"/>
  <c r="X30" i="7" s="1"/>
  <c r="H58" i="7"/>
  <c r="H27" i="7" s="1"/>
  <c r="V48" i="7"/>
  <c r="V17" i="7" s="1"/>
  <c r="Z87" i="7"/>
  <c r="Z25" i="7" s="1"/>
  <c r="L93" i="7"/>
  <c r="L31" i="7" s="1"/>
  <c r="U46" i="7"/>
  <c r="U15" i="7" s="1"/>
  <c r="W47" i="7"/>
  <c r="W16" i="7" s="1"/>
  <c r="L76" i="7"/>
  <c r="L14" i="7" s="1"/>
  <c r="X93" i="7"/>
  <c r="X31" i="7" s="1"/>
  <c r="O60" i="7"/>
  <c r="O29" i="7" s="1"/>
  <c r="N43" i="7"/>
  <c r="N12" i="7" s="1"/>
  <c r="I45" i="7"/>
  <c r="I14" i="7" s="1"/>
  <c r="K62" i="7"/>
  <c r="K31" i="7" s="1"/>
  <c r="W69" i="7"/>
  <c r="W7" i="7" s="1"/>
  <c r="J77" i="7"/>
  <c r="J15" i="7" s="1"/>
  <c r="AC73" i="7"/>
  <c r="AC11" i="7" s="1"/>
  <c r="Z76" i="7"/>
  <c r="Z14" i="7" s="1"/>
  <c r="N47" i="7"/>
  <c r="N16" i="7" s="1"/>
  <c r="L86" i="7"/>
  <c r="L24" i="7" s="1"/>
  <c r="M87" i="7"/>
  <c r="M25" i="7" s="1"/>
  <c r="W81" i="7"/>
  <c r="W19" i="7" s="1"/>
  <c r="X52" i="7"/>
  <c r="X21" i="7" s="1"/>
  <c r="L59" i="7"/>
  <c r="L28" i="7" s="1"/>
  <c r="I62" i="7"/>
  <c r="I31" i="7" s="1"/>
  <c r="G47" i="7"/>
  <c r="G16" i="7" s="1"/>
  <c r="W56" i="7"/>
  <c r="W25" i="7" s="1"/>
  <c r="V51" i="7"/>
  <c r="V20" i="7" s="1"/>
  <c r="V52" i="7"/>
  <c r="V21" i="7" s="1"/>
  <c r="AB76" i="7"/>
  <c r="AB14" i="7" s="1"/>
  <c r="N40" i="7"/>
  <c r="N9" i="7" s="1"/>
  <c r="AC83" i="7"/>
  <c r="AC21" i="7" s="1"/>
  <c r="U45" i="7"/>
  <c r="U14" i="7" s="1"/>
  <c r="G86" i="7"/>
  <c r="G24" i="7" s="1"/>
  <c r="G40" i="7"/>
  <c r="G9" i="7" s="1"/>
  <c r="I54" i="7"/>
  <c r="I23" i="7" s="1"/>
  <c r="F76" i="7"/>
  <c r="F14" i="7" s="1"/>
  <c r="G39" i="6"/>
  <c r="G75" i="7" s="1"/>
  <c r="S45" i="7"/>
  <c r="S14" i="7" s="1"/>
  <c r="L87" i="7"/>
  <c r="L25" i="7" s="1"/>
  <c r="P47" i="7"/>
  <c r="P16" i="7" s="1"/>
  <c r="X49" i="7"/>
  <c r="X18" i="7" s="1"/>
  <c r="X82" i="7"/>
  <c r="X20" i="7" s="1"/>
  <c r="G48" i="7"/>
  <c r="G17" i="7" s="1"/>
  <c r="H47" i="7"/>
  <c r="H16" i="7" s="1"/>
  <c r="L80" i="7"/>
  <c r="L18" i="7" s="1"/>
  <c r="S57" i="7"/>
  <c r="S26" i="7" s="1"/>
  <c r="AC89" i="7"/>
  <c r="AC27" i="7" s="1"/>
  <c r="P49" i="7"/>
  <c r="P18" i="7" s="1"/>
  <c r="I58" i="7"/>
  <c r="I27" i="7" s="1"/>
  <c r="V93" i="7"/>
  <c r="V31" i="7" s="1"/>
  <c r="T61" i="7"/>
  <c r="T30" i="7" s="1"/>
  <c r="Y39" i="7"/>
  <c r="Y8" i="7" s="1"/>
  <c r="N48" i="7"/>
  <c r="N17" i="7" s="1"/>
  <c r="T87" i="7"/>
  <c r="T25" i="7" s="1"/>
  <c r="U49" i="7"/>
  <c r="U18" i="7" s="1"/>
  <c r="Z79" i="7"/>
  <c r="Z17" i="7" s="1"/>
  <c r="I57" i="7"/>
  <c r="I26" i="7" s="1"/>
  <c r="W55" i="7"/>
  <c r="W24" i="7" s="1"/>
  <c r="J90" i="7"/>
  <c r="J28" i="7" s="1"/>
  <c r="T52" i="7"/>
  <c r="T21" i="7" s="1"/>
  <c r="W52" i="7"/>
  <c r="W21" i="7" s="1"/>
  <c r="W51" i="7"/>
  <c r="W20" i="7" s="1"/>
  <c r="K76" i="7"/>
  <c r="K14" i="7" s="1"/>
  <c r="S54" i="7"/>
  <c r="S23" i="7" s="1"/>
  <c r="O89" i="7"/>
  <c r="O27" i="7" s="1"/>
  <c r="O85" i="7"/>
  <c r="O23" i="7" s="1"/>
  <c r="O39" i="6"/>
  <c r="O44" i="7" s="1"/>
  <c r="W91" i="7"/>
  <c r="W29" i="7" s="1"/>
  <c r="N45" i="7"/>
  <c r="N14" i="7" s="1"/>
  <c r="T68" i="7"/>
  <c r="T6" i="7" s="1"/>
  <c r="AC70" i="7"/>
  <c r="AC8" i="7" s="1"/>
  <c r="AC78" i="7"/>
  <c r="AC16" i="7" s="1"/>
  <c r="AA80" i="7"/>
  <c r="AA18" i="7" s="1"/>
  <c r="M90" i="7"/>
  <c r="M28" i="7" s="1"/>
  <c r="V85" i="7"/>
  <c r="V23" i="7" s="1"/>
  <c r="L92" i="7"/>
  <c r="L30" i="7" s="1"/>
  <c r="J40" i="7"/>
  <c r="J9" i="7" s="1"/>
  <c r="AA69" i="7"/>
  <c r="AA7" i="7" s="1"/>
  <c r="AC45" i="7"/>
  <c r="AC14" i="7" s="1"/>
  <c r="H60" i="7"/>
  <c r="H29" i="7" s="1"/>
  <c r="Z51" i="7"/>
  <c r="Z20" i="7" s="1"/>
  <c r="H55" i="7"/>
  <c r="H24" i="7" s="1"/>
  <c r="Z88" i="7"/>
  <c r="Z26" i="7" s="1"/>
  <c r="G77" i="7"/>
  <c r="G15" i="7" s="1"/>
  <c r="T82" i="7"/>
  <c r="T20" i="7" s="1"/>
  <c r="T76" i="7"/>
  <c r="T14" i="7" s="1"/>
  <c r="P88" i="7"/>
  <c r="P26" i="7" s="1"/>
  <c r="M78" i="7"/>
  <c r="M16" i="7" s="1"/>
  <c r="V39" i="7"/>
  <c r="V8" i="7" s="1"/>
  <c r="Y76" i="7"/>
  <c r="Y14" i="7" s="1"/>
  <c r="Y81" i="7"/>
  <c r="Y19" i="7" s="1"/>
  <c r="G74" i="7"/>
  <c r="G12" i="7" s="1"/>
  <c r="I40" i="7"/>
  <c r="I9" i="7" s="1"/>
  <c r="O40" i="7"/>
  <c r="AC57" i="7"/>
  <c r="AC26" i="7" s="1"/>
  <c r="Y39" i="6"/>
  <c r="Y44" i="7" s="1"/>
  <c r="AA55" i="7"/>
  <c r="AA24" i="7" s="1"/>
  <c r="O41" i="7"/>
  <c r="O10" i="7" s="1"/>
  <c r="S37" i="7"/>
  <c r="S6" i="7" s="1"/>
  <c r="L46" i="7"/>
  <c r="L15" i="7" s="1"/>
  <c r="J41" i="7"/>
  <c r="J10" i="7" s="1"/>
  <c r="Y87" i="7"/>
  <c r="Y25" i="7" s="1"/>
  <c r="J62" i="7"/>
  <c r="J31" i="7" s="1"/>
  <c r="Y74" i="7"/>
  <c r="Y12" i="7" s="1"/>
  <c r="AB38" i="7"/>
  <c r="AB7" i="7" s="1"/>
  <c r="V47" i="7"/>
  <c r="V16" i="7" s="1"/>
  <c r="AB88" i="7"/>
  <c r="AB26" i="7" s="1"/>
  <c r="L71" i="7"/>
  <c r="L9" i="7" s="1"/>
  <c r="V39" i="6"/>
  <c r="V44" i="7" s="1"/>
  <c r="P45" i="7"/>
  <c r="P14" i="7" s="1"/>
  <c r="Z70" i="7"/>
  <c r="Z8" i="7" s="1"/>
  <c r="J52" i="7"/>
  <c r="J21" i="7" s="1"/>
  <c r="N61" i="7"/>
  <c r="N30" i="7" s="1"/>
  <c r="M77" i="7"/>
  <c r="M15" i="7" s="1"/>
  <c r="AB39" i="6"/>
  <c r="AB75" i="7" s="1"/>
  <c r="AA78" i="7"/>
  <c r="AA16" i="7" s="1"/>
  <c r="Z61" i="7"/>
  <c r="Z30" i="7" s="1"/>
  <c r="K79" i="7"/>
  <c r="K17" i="7" s="1"/>
  <c r="AB59" i="7"/>
  <c r="AB28" i="7" s="1"/>
  <c r="S39" i="7"/>
  <c r="S8" i="7" s="1"/>
  <c r="V40" i="7"/>
  <c r="V9" i="7" s="1"/>
  <c r="N58" i="7"/>
  <c r="N27" i="7" s="1"/>
  <c r="H51" i="7"/>
  <c r="H20" i="7" s="1"/>
  <c r="Y72" i="7"/>
  <c r="Y10" i="7" s="1"/>
  <c r="Z77" i="7"/>
  <c r="Z15" i="7" s="1"/>
  <c r="S50" i="7"/>
  <c r="S19" i="7" s="1"/>
  <c r="S72" i="7"/>
  <c r="S10" i="7" s="1"/>
  <c r="X87" i="7"/>
  <c r="X25" i="7" s="1"/>
  <c r="N62" i="7"/>
  <c r="N31" i="7" s="1"/>
  <c r="J91" i="7"/>
  <c r="J29" i="7" s="1"/>
  <c r="AB50" i="7"/>
  <c r="AB19" i="7" s="1"/>
  <c r="V72" i="7"/>
  <c r="V10" i="7" s="1"/>
  <c r="V49" i="7"/>
  <c r="V18" i="7" s="1"/>
  <c r="Z40" i="7"/>
  <c r="Z9" i="7" s="1"/>
  <c r="N91" i="7"/>
  <c r="N29" i="7" s="1"/>
  <c r="O57" i="7"/>
  <c r="O26" i="7" s="1"/>
  <c r="G87" i="7"/>
  <c r="G25" i="7" s="1"/>
  <c r="I55" i="7"/>
  <c r="I24" i="7" s="1"/>
  <c r="J39" i="6"/>
  <c r="J75" i="7" s="1"/>
  <c r="P83" i="7"/>
  <c r="P21" i="7" s="1"/>
  <c r="U39" i="7"/>
  <c r="U8" i="7" s="1"/>
  <c r="I80" i="7"/>
  <c r="I18" i="7" s="1"/>
  <c r="M88" i="7"/>
  <c r="M26" i="7" s="1"/>
  <c r="F47" i="7"/>
  <c r="F16" i="7" s="1"/>
  <c r="X41" i="7"/>
  <c r="X10" i="7" s="1"/>
  <c r="W46" i="7"/>
  <c r="W15" i="7" s="1"/>
  <c r="M62" i="7"/>
  <c r="M31" i="7" s="1"/>
  <c r="I60" i="7"/>
  <c r="I29" i="7" s="1"/>
  <c r="N77" i="7"/>
  <c r="N15" i="7" s="1"/>
  <c r="S87" i="7"/>
  <c r="S25" i="7" s="1"/>
  <c r="X57" i="7"/>
  <c r="X26" i="7" s="1"/>
  <c r="W89" i="7"/>
  <c r="W27" i="7" s="1"/>
  <c r="X55" i="7"/>
  <c r="X24" i="7" s="1"/>
  <c r="AB39" i="7"/>
  <c r="AB8" i="7" s="1"/>
  <c r="P89" i="7"/>
  <c r="P27" i="7" s="1"/>
  <c r="X50" i="7"/>
  <c r="X19" i="7" s="1"/>
  <c r="H61" i="7"/>
  <c r="H30" i="7" s="1"/>
  <c r="L82" i="7"/>
  <c r="L20" i="7" s="1"/>
  <c r="U87" i="7"/>
  <c r="U25" i="7" s="1"/>
  <c r="T49" i="7"/>
  <c r="T18" i="7" s="1"/>
  <c r="H52" i="7"/>
  <c r="H21" i="7" s="1"/>
  <c r="F90" i="7"/>
  <c r="F28" i="7" s="1"/>
  <c r="O47" i="7"/>
  <c r="O16" i="7" s="1"/>
  <c r="Z78" i="7"/>
  <c r="Z16" i="7" s="1"/>
  <c r="I59" i="7"/>
  <c r="I28" i="7" s="1"/>
  <c r="AC37" i="7"/>
  <c r="AC6" i="7" s="1"/>
  <c r="M45" i="7"/>
  <c r="M14" i="7" s="1"/>
  <c r="V88" i="7"/>
  <c r="V26" i="7" s="1"/>
  <c r="X91" i="7"/>
  <c r="X29" i="7" s="1"/>
  <c r="G93" i="7"/>
  <c r="G31" i="7" s="1"/>
  <c r="K87" i="7"/>
  <c r="K25" i="7" s="1"/>
  <c r="Y54" i="7"/>
  <c r="Y23" i="7" s="1"/>
  <c r="AB41" i="7"/>
  <c r="AB10" i="7" s="1"/>
  <c r="AA59" i="7"/>
  <c r="AA28" i="7" s="1"/>
  <c r="H62" i="7"/>
  <c r="H31" i="7" s="1"/>
  <c r="M86" i="7"/>
  <c r="M24" i="7" s="1"/>
  <c r="W74" i="7"/>
  <c r="W12" i="7" s="1"/>
  <c r="I51" i="7"/>
  <c r="I20" i="7" s="1"/>
  <c r="P73" i="7"/>
  <c r="P11" i="7" s="1"/>
  <c r="AB74" i="7"/>
  <c r="AB12" i="7" s="1"/>
  <c r="F87" i="7"/>
  <c r="F25" i="7" s="1"/>
  <c r="V58" i="7"/>
  <c r="V27" i="7" s="1"/>
  <c r="I87" i="7"/>
  <c r="I25" i="7" s="1"/>
  <c r="J92" i="7"/>
  <c r="J30" i="7" s="1"/>
  <c r="P74" i="7"/>
  <c r="P12" i="7" s="1"/>
  <c r="G90" i="7"/>
  <c r="G28" i="7" s="1"/>
  <c r="V50" i="7"/>
  <c r="V19" i="7" s="1"/>
  <c r="K55" i="7"/>
  <c r="K24" i="7" s="1"/>
  <c r="X79" i="7"/>
  <c r="X17" i="7" s="1"/>
  <c r="X54" i="7"/>
  <c r="X23" i="7" s="1"/>
  <c r="Y51" i="7"/>
  <c r="Y20" i="7" s="1"/>
  <c r="Y37" i="7"/>
  <c r="Y6" i="7" s="1"/>
  <c r="O51" i="7"/>
  <c r="O20" i="7" s="1"/>
  <c r="O92" i="7"/>
  <c r="O30" i="7" s="1"/>
  <c r="S59" i="7"/>
  <c r="S28" i="7" s="1"/>
  <c r="N59" i="7"/>
  <c r="N28" i="7" s="1"/>
  <c r="AC49" i="7"/>
  <c r="AC18" i="7" s="1"/>
  <c r="S89" i="7"/>
  <c r="S27" i="7" s="1"/>
  <c r="S93" i="7"/>
  <c r="S31" i="7" s="1"/>
  <c r="W54" i="7"/>
  <c r="W23" i="7" s="1"/>
  <c r="K42" i="7"/>
  <c r="K11" i="7" s="1"/>
  <c r="W80" i="7"/>
  <c r="W18" i="7" s="1"/>
  <c r="P59" i="7"/>
  <c r="P28" i="7" s="1"/>
  <c r="I50" i="7"/>
  <c r="I19" i="7" s="1"/>
  <c r="P56" i="7"/>
  <c r="P25" i="7" s="1"/>
  <c r="N81" i="7"/>
  <c r="N19" i="7" s="1"/>
  <c r="F86" i="7"/>
  <c r="F24" i="7" s="1"/>
  <c r="AC79" i="7"/>
  <c r="AC17" i="7" s="1"/>
  <c r="I43" i="7"/>
  <c r="I12" i="7" s="1"/>
  <c r="Y71" i="7"/>
  <c r="Y9" i="7" s="1"/>
  <c r="N39" i="6"/>
  <c r="N75" i="7" s="1"/>
  <c r="Z54" i="7"/>
  <c r="Z23" i="7" s="1"/>
  <c r="M50" i="7"/>
  <c r="M19" i="7" s="1"/>
  <c r="J78" i="7"/>
  <c r="J16" i="7" s="1"/>
  <c r="L39" i="6"/>
  <c r="L44" i="7" s="1"/>
  <c r="S39" i="6"/>
  <c r="S75" i="7" s="1"/>
  <c r="O48" i="7"/>
  <c r="O17" i="7" s="1"/>
  <c r="F51" i="7"/>
  <c r="F20" i="7" s="1"/>
  <c r="AA54" i="7"/>
  <c r="AA23" i="7" s="1"/>
  <c r="F57" i="7"/>
  <c r="F26" i="7" s="1"/>
  <c r="L50" i="7"/>
  <c r="L19" i="7" s="1"/>
  <c r="T78" i="7"/>
  <c r="T16" i="7" s="1"/>
  <c r="N83" i="7"/>
  <c r="N21" i="7" s="1"/>
  <c r="T74" i="7"/>
  <c r="T12" i="7" s="1"/>
  <c r="L41" i="7"/>
  <c r="L10" i="7" s="1"/>
  <c r="AC86" i="7"/>
  <c r="AC24" i="7" s="1"/>
  <c r="Y77" i="7"/>
  <c r="Y15" i="7" s="1"/>
  <c r="M51" i="7"/>
  <c r="M20" i="7" s="1"/>
  <c r="H43" i="7"/>
  <c r="H12" i="7" s="1"/>
  <c r="K92" i="7"/>
  <c r="K30" i="7" s="1"/>
  <c r="W59" i="7"/>
  <c r="W28" i="7" s="1"/>
  <c r="T89" i="7"/>
  <c r="T27" i="7" s="1"/>
  <c r="V77" i="7"/>
  <c r="V15" i="7" s="1"/>
  <c r="P54" i="7"/>
  <c r="P23" i="7" s="1"/>
  <c r="Z80" i="7"/>
  <c r="Z18" i="7" s="1"/>
  <c r="X89" i="7"/>
  <c r="X27" i="7" s="1"/>
  <c r="M52" i="7"/>
  <c r="M21" i="7" s="1"/>
  <c r="I46" i="7"/>
  <c r="I15" i="7" s="1"/>
  <c r="U62" i="7"/>
  <c r="U31" i="7" s="1"/>
  <c r="P62" i="7"/>
  <c r="P31" i="7" s="1"/>
  <c r="Z41" i="7"/>
  <c r="Z10" i="7" s="1"/>
  <c r="Z38" i="7"/>
  <c r="Z7" i="7" s="1"/>
  <c r="T79" i="7"/>
  <c r="T17" i="7" s="1"/>
  <c r="G51" i="7"/>
  <c r="G20" i="7" s="1"/>
  <c r="F89" i="7"/>
  <c r="F27" i="7" s="1"/>
  <c r="K72" i="7"/>
  <c r="K10" i="7" s="1"/>
  <c r="AB61" i="7"/>
  <c r="AB30" i="7" s="1"/>
  <c r="Z39" i="6"/>
  <c r="Z75" i="7" s="1"/>
  <c r="H87" i="7"/>
  <c r="H25" i="7" s="1"/>
  <c r="F46" i="7"/>
  <c r="F15" i="7" s="1"/>
  <c r="X78" i="7"/>
  <c r="X16" i="7" s="1"/>
  <c r="J73" i="7"/>
  <c r="J11" i="7" s="1"/>
  <c r="Y93" i="7"/>
  <c r="Y31" i="7" s="1"/>
  <c r="I42" i="7"/>
  <c r="I11" i="7" s="1"/>
  <c r="O93" i="7"/>
  <c r="O31" i="7" s="1"/>
  <c r="V43" i="7"/>
  <c r="V12" i="7" s="1"/>
  <c r="Z59" i="7"/>
  <c r="Z28" i="7" s="1"/>
  <c r="S77" i="7"/>
  <c r="S15" i="7" s="1"/>
  <c r="N82" i="7"/>
  <c r="N20" i="7" s="1"/>
  <c r="Y92" i="7"/>
  <c r="Y30" i="7" s="1"/>
  <c r="X46" i="7"/>
  <c r="X15" i="7" s="1"/>
  <c r="H73" i="7"/>
  <c r="H11" i="7" s="1"/>
  <c r="V56" i="7"/>
  <c r="V25" i="7" s="1"/>
  <c r="P91" i="7"/>
  <c r="P29" i="7" s="1"/>
  <c r="AA62" i="7"/>
  <c r="AA31" i="7" s="1"/>
  <c r="U37" i="7"/>
  <c r="U6" i="7" s="1"/>
  <c r="Z74" i="7"/>
  <c r="Z12" i="7" s="1"/>
  <c r="Y42" i="7"/>
  <c r="Y11" i="7" s="1"/>
  <c r="S47" i="7"/>
  <c r="S16" i="7" s="1"/>
  <c r="AC85" i="7"/>
  <c r="AC23" i="7" s="1"/>
  <c r="AA79" i="7"/>
  <c r="AA17" i="7" s="1"/>
  <c r="AC92" i="7"/>
  <c r="AC30" i="7" s="1"/>
  <c r="E71" i="7"/>
  <c r="W71" i="7"/>
  <c r="W9" i="7" s="1"/>
  <c r="AA58" i="7"/>
  <c r="AA27" i="7" s="1"/>
  <c r="Z37" i="7"/>
  <c r="Z6" i="7" s="1"/>
  <c r="F41" i="7"/>
  <c r="F10" i="7" s="1"/>
  <c r="U83" i="7"/>
  <c r="U21" i="7" s="1"/>
  <c r="AA82" i="7"/>
  <c r="AA20" i="7" s="1"/>
  <c r="T54" i="7"/>
  <c r="T23" i="7" s="1"/>
  <c r="T62" i="7"/>
  <c r="T31" i="7" s="1"/>
  <c r="AB54" i="7"/>
  <c r="AB23" i="7" s="1"/>
  <c r="AA73" i="7"/>
  <c r="AA11" i="7" s="1"/>
  <c r="O46" i="7"/>
  <c r="O15" i="7" s="1"/>
  <c r="N86" i="7"/>
  <c r="N24" i="7" s="1"/>
  <c r="J88" i="7"/>
  <c r="J26" i="7" s="1"/>
  <c r="K83" i="7"/>
  <c r="K21" i="7" s="1"/>
  <c r="N80" i="7"/>
  <c r="N18" i="7" s="1"/>
  <c r="O45" i="7"/>
  <c r="O14" i="7" s="1"/>
  <c r="AA88" i="7"/>
  <c r="AA26" i="7" s="1"/>
  <c r="AA83" i="7"/>
  <c r="AA21" i="7" s="1"/>
  <c r="H39" i="6"/>
  <c r="H75" i="7" s="1"/>
  <c r="F39" i="6"/>
  <c r="F44" i="7" s="1"/>
  <c r="U92" i="7"/>
  <c r="U30" i="7" s="1"/>
  <c r="U50" i="7"/>
  <c r="U19" i="7" s="1"/>
  <c r="O71" i="7"/>
  <c r="Z83" i="7"/>
  <c r="Z21" i="7" s="1"/>
  <c r="AB89" i="7"/>
  <c r="AB27" i="7" s="1"/>
  <c r="W39" i="6"/>
  <c r="W75" i="7" s="1"/>
  <c r="K39" i="6"/>
  <c r="K75" i="7" s="1"/>
  <c r="J82" i="7"/>
  <c r="J20" i="7" s="1"/>
  <c r="K80" i="7"/>
  <c r="K18" i="7" s="1"/>
  <c r="S80" i="7"/>
  <c r="S18" i="7" s="1"/>
  <c r="W57" i="7"/>
  <c r="W26" i="7" s="1"/>
  <c r="T81" i="7"/>
  <c r="T19" i="7" s="1"/>
  <c r="L43" i="7"/>
  <c r="L12" i="7" s="1"/>
  <c r="W72" i="7"/>
  <c r="W10" i="7" s="1"/>
  <c r="V73" i="7"/>
  <c r="V11" i="7" s="1"/>
  <c r="O59" i="7"/>
  <c r="O28" i="7" s="1"/>
  <c r="Y91" i="7"/>
  <c r="Y29" i="7" s="1"/>
  <c r="H88" i="7"/>
  <c r="H26" i="7" s="1"/>
  <c r="V68" i="7"/>
  <c r="V6" i="7" s="1"/>
  <c r="K60" i="7"/>
  <c r="K29" i="7" s="1"/>
  <c r="AC40" i="7"/>
  <c r="AC9" i="7" s="1"/>
  <c r="F74" i="7"/>
  <c r="F12" i="7" s="1"/>
  <c r="L54" i="7"/>
  <c r="L23" i="7" s="1"/>
  <c r="X59" i="7"/>
  <c r="X28" i="7" s="1"/>
  <c r="F73" i="7"/>
  <c r="F11" i="7" s="1"/>
  <c r="S86" i="7"/>
  <c r="S24" i="7" s="1"/>
  <c r="J81" i="7"/>
  <c r="J19" i="7" s="1"/>
  <c r="U74" i="7"/>
  <c r="U12" i="7" s="1"/>
  <c r="G85" i="7"/>
  <c r="G23" i="7" s="1"/>
  <c r="W39" i="7"/>
  <c r="W8" i="7" s="1"/>
  <c r="F60" i="7"/>
  <c r="F29" i="7" s="1"/>
  <c r="M58" i="7"/>
  <c r="M27" i="7" s="1"/>
  <c r="M60" i="7"/>
  <c r="M29" i="7" s="1"/>
  <c r="O52" i="7"/>
  <c r="O21" i="7" s="1"/>
  <c r="U78" i="7"/>
  <c r="U16" i="7" s="1"/>
  <c r="H40" i="7"/>
  <c r="H9" i="7" s="1"/>
  <c r="AC82" i="7"/>
  <c r="AC20" i="7" s="1"/>
  <c r="AA39" i="6"/>
  <c r="AA75" i="7" s="1"/>
  <c r="U85" i="7"/>
  <c r="U23" i="7" s="1"/>
  <c r="J56" i="7"/>
  <c r="J25" i="7" s="1"/>
  <c r="M54" i="7"/>
  <c r="M23" i="7" s="1"/>
  <c r="H59" i="7"/>
  <c r="H28" i="7" s="1"/>
  <c r="K77" i="7"/>
  <c r="K15" i="7" s="1"/>
  <c r="G92" i="7"/>
  <c r="G30" i="7" s="1"/>
  <c r="J85" i="7"/>
  <c r="J23" i="7" s="1"/>
  <c r="W48" i="7"/>
  <c r="W17" i="7" s="1"/>
  <c r="G60" i="7"/>
  <c r="G29" i="7" s="1"/>
  <c r="AC56" i="7"/>
  <c r="AC25" i="7" s="1"/>
  <c r="Y52" i="7"/>
  <c r="Y21" i="7" s="1"/>
  <c r="J49" i="7"/>
  <c r="J18" i="7" s="1"/>
  <c r="W93" i="7"/>
  <c r="W31" i="7" s="1"/>
  <c r="M42" i="7"/>
  <c r="M11" i="7" s="1"/>
  <c r="I39" i="6"/>
  <c r="I75" i="7" s="1"/>
  <c r="T86" i="7"/>
  <c r="T24" i="7" s="1"/>
  <c r="X39" i="7"/>
  <c r="X8" i="7" s="1"/>
  <c r="L60" i="7"/>
  <c r="L29" i="7" s="1"/>
  <c r="I61" i="7"/>
  <c r="I30" i="7" s="1"/>
  <c r="G45" i="7"/>
  <c r="G14" i="7" s="1"/>
  <c r="S92" i="7"/>
  <c r="S30" i="7" s="1"/>
  <c r="V38" i="7"/>
  <c r="V7" i="7" s="1"/>
  <c r="F40" i="7"/>
  <c r="F9" i="7" s="1"/>
  <c r="K47" i="7"/>
  <c r="K16" i="7" s="1"/>
  <c r="J86" i="7"/>
  <c r="J24" i="7" s="1"/>
  <c r="AC81" i="7"/>
  <c r="AC19" i="7" s="1"/>
  <c r="Z93" i="7"/>
  <c r="Z31" i="7" s="1"/>
  <c r="AA43" i="7"/>
  <c r="AA12" i="7" s="1"/>
  <c r="AB83" i="7"/>
  <c r="AB21" i="7" s="1"/>
  <c r="M92" i="7"/>
  <c r="M30" i="7" s="1"/>
  <c r="J79" i="7"/>
  <c r="J17" i="7" s="1"/>
  <c r="F52" i="7"/>
  <c r="F21" i="7" s="1"/>
  <c r="AB37" i="7"/>
  <c r="AB6" i="7" s="1"/>
  <c r="V91" i="7"/>
  <c r="V29" i="7" s="1"/>
  <c r="AC43" i="7"/>
  <c r="AC12" i="7" s="1"/>
  <c r="X43" i="7"/>
  <c r="X12" i="7" s="1"/>
  <c r="Z58" i="7"/>
  <c r="Z27" i="7" s="1"/>
  <c r="T59" i="7"/>
  <c r="T28" i="7" s="1"/>
  <c r="U51" i="7"/>
  <c r="U20" i="7" s="1"/>
  <c r="X45" i="7"/>
  <c r="X14" i="7" s="1"/>
  <c r="S52" i="7"/>
  <c r="S21" i="7" s="1"/>
  <c r="T57" i="7"/>
  <c r="T26" i="7" s="1"/>
  <c r="S38" i="7"/>
  <c r="S7" i="7" s="1"/>
  <c r="F92" i="7"/>
  <c r="F30" i="7" s="1"/>
  <c r="P55" i="7"/>
  <c r="P24" i="7" s="1"/>
  <c r="P92" i="7"/>
  <c r="P30" i="7" s="1"/>
  <c r="AC39" i="6"/>
  <c r="AC75" i="7" s="1"/>
  <c r="U59" i="7"/>
  <c r="U28" i="7" s="1"/>
  <c r="H81" i="7"/>
  <c r="H19" i="7" s="1"/>
  <c r="Z50" i="7"/>
  <c r="Z19" i="7" s="1"/>
  <c r="AC60" i="7"/>
  <c r="AC29" i="7" s="1"/>
  <c r="U79" i="7"/>
  <c r="U17" i="7" s="1"/>
  <c r="AA40" i="7"/>
  <c r="AA9" i="7" s="1"/>
  <c r="U88" i="7"/>
  <c r="U26" i="7" s="1"/>
  <c r="M41" i="7"/>
  <c r="M10" i="7" s="1"/>
  <c r="AA77" i="7"/>
  <c r="AA15" i="7" s="1"/>
  <c r="L42" i="7"/>
  <c r="L11" i="7" s="1"/>
  <c r="S79" i="7"/>
  <c r="S17" i="7" s="1"/>
  <c r="N56" i="7"/>
  <c r="N87" i="7"/>
  <c r="T39" i="7"/>
  <c r="T8" i="7" s="1"/>
  <c r="X71" i="7"/>
  <c r="X9" i="7" s="1"/>
  <c r="U41" i="7"/>
  <c r="U10" i="7" s="1"/>
  <c r="X39" i="6"/>
  <c r="X75" i="7" s="1"/>
  <c r="T71" i="7"/>
  <c r="T9" i="7" s="1"/>
  <c r="Y49" i="7"/>
  <c r="Y18" i="7" s="1"/>
  <c r="F93" i="7"/>
  <c r="F31" i="7" s="1"/>
  <c r="G42" i="7"/>
  <c r="G11" i="7" s="1"/>
  <c r="T73" i="7"/>
  <c r="T11" i="7" s="1"/>
  <c r="T69" i="7"/>
  <c r="T7" i="7" s="1"/>
  <c r="M79" i="7"/>
  <c r="M17" i="7" s="1"/>
  <c r="F50" i="7"/>
  <c r="F19" i="7" s="1"/>
  <c r="S42" i="7"/>
  <c r="S11" i="7" s="1"/>
  <c r="N73" i="7"/>
  <c r="N11" i="7" s="1"/>
  <c r="M80" i="7"/>
  <c r="M18" i="7" s="1"/>
  <c r="W68" i="7"/>
  <c r="W6" i="7" s="1"/>
  <c r="G83" i="7"/>
  <c r="G21" i="7" s="1"/>
  <c r="X42" i="7"/>
  <c r="X11" i="7" s="1"/>
  <c r="P51" i="7"/>
  <c r="P20" i="7" s="1"/>
  <c r="R39" i="6"/>
  <c r="AA50" i="7"/>
  <c r="AA19" i="7" s="1"/>
  <c r="AB78" i="7"/>
  <c r="AB16" i="7" s="1"/>
  <c r="AB51" i="7"/>
  <c r="AB20" i="7" s="1"/>
  <c r="W73" i="7"/>
  <c r="W11" i="7" s="1"/>
  <c r="AA37" i="7"/>
  <c r="AA6" i="7" s="1"/>
  <c r="AA72" i="7"/>
  <c r="AA10" i="7" s="1"/>
  <c r="K90" i="7"/>
  <c r="K28" i="7" s="1"/>
  <c r="T39" i="6"/>
  <c r="T75" i="7" s="1"/>
  <c r="N57" i="7"/>
  <c r="N26" i="7" s="1"/>
  <c r="AA91" i="7"/>
  <c r="AA29" i="7" s="1"/>
  <c r="AB40" i="7"/>
  <c r="AB55" i="7"/>
  <c r="AB24" i="7" s="1"/>
  <c r="AA61" i="7"/>
  <c r="AA30" i="7" s="1"/>
  <c r="H72" i="7"/>
  <c r="H10" i="7" s="1"/>
  <c r="N41" i="7"/>
  <c r="N10" i="7" s="1"/>
  <c r="F48" i="7"/>
  <c r="F17" i="7" s="1"/>
  <c r="AA87" i="7"/>
  <c r="AA25" i="7" s="1"/>
  <c r="AC38" i="7"/>
  <c r="AC7" i="7" s="1"/>
  <c r="Z42" i="7"/>
  <c r="Z11" i="7" s="1"/>
  <c r="AB71" i="7"/>
  <c r="AA70" i="7"/>
  <c r="AA8" i="7" s="1"/>
  <c r="AB91" i="7"/>
  <c r="AB29" i="7" s="1"/>
  <c r="AB62" i="7"/>
  <c r="AB31" i="7" s="1"/>
  <c r="AC62" i="7"/>
  <c r="AC31" i="7" s="1"/>
  <c r="AB42" i="7"/>
  <c r="AB11" i="7" s="1"/>
  <c r="T41" i="7"/>
  <c r="T10" i="7" s="1"/>
  <c r="AB79" i="7"/>
  <c r="AB17" i="7" s="1"/>
  <c r="AB87" i="7"/>
  <c r="AB25" i="7" s="1"/>
  <c r="AC41" i="7"/>
  <c r="AC10" i="7" s="1"/>
  <c r="P41" i="7"/>
  <c r="P10" i="7" s="1"/>
  <c r="AB80" i="7"/>
  <c r="AB18" i="7" s="1"/>
  <c r="G41" i="7"/>
  <c r="G10" i="7" s="1"/>
  <c r="AB77" i="7"/>
  <c r="AB15" i="7" s="1"/>
  <c r="AA76" i="7"/>
  <c r="AA14" i="7" s="1"/>
  <c r="I72" i="7"/>
  <c r="I10" i="7" s="1"/>
  <c r="U73" i="7"/>
  <c r="U11" i="7" s="1"/>
  <c r="O42" i="7"/>
  <c r="O11" i="7" s="1"/>
  <c r="M44" i="7" l="1"/>
  <c r="M13" i="7" s="1"/>
  <c r="V22" i="7"/>
  <c r="P75" i="7"/>
  <c r="P13" i="7" s="1"/>
  <c r="U22" i="7"/>
  <c r="G22" i="7"/>
  <c r="H22" i="7"/>
  <c r="K22" i="7"/>
  <c r="O22" i="7"/>
  <c r="N22" i="7"/>
  <c r="U44" i="7"/>
  <c r="U13" i="7" s="1"/>
  <c r="P22" i="7"/>
  <c r="X22" i="7"/>
  <c r="W22" i="7"/>
  <c r="AC22" i="7"/>
  <c r="S22" i="7"/>
  <c r="L22" i="7"/>
  <c r="Y22" i="7"/>
  <c r="F22" i="7"/>
  <c r="Z22" i="7"/>
  <c r="T22" i="7"/>
  <c r="AB22" i="7"/>
  <c r="AA22" i="7"/>
  <c r="O75" i="7"/>
  <c r="O13" i="7" s="1"/>
  <c r="G44" i="7"/>
  <c r="G13" i="7" s="1"/>
  <c r="K44" i="7"/>
  <c r="K13" i="7" s="1"/>
  <c r="V75" i="7"/>
  <c r="V13" i="7" s="1"/>
  <c r="Y75" i="7"/>
  <c r="Y13" i="7" s="1"/>
  <c r="W44" i="7"/>
  <c r="W13" i="7" s="1"/>
  <c r="AA44" i="7"/>
  <c r="AA13" i="7" s="1"/>
  <c r="N44" i="7"/>
  <c r="N13" i="7" s="1"/>
  <c r="O9" i="7"/>
  <c r="Z44" i="7"/>
  <c r="Z13" i="7" s="1"/>
  <c r="AB44" i="7"/>
  <c r="AB13" i="7" s="1"/>
  <c r="J44" i="7"/>
  <c r="J13" i="7" s="1"/>
  <c r="I44" i="7"/>
  <c r="I13" i="7" s="1"/>
  <c r="H44" i="7"/>
  <c r="H13" i="7" s="1"/>
  <c r="F75" i="7"/>
  <c r="F13" i="7" s="1"/>
  <c r="L75" i="7"/>
  <c r="L13" i="7" s="1"/>
  <c r="S44" i="7"/>
  <c r="S13" i="7" s="1"/>
  <c r="T44" i="7"/>
  <c r="T13" i="7" s="1"/>
  <c r="AB9" i="7"/>
  <c r="X44" i="7"/>
  <c r="X13" i="7" s="1"/>
  <c r="N25" i="7"/>
  <c r="AC44" i="7"/>
  <c r="AC13" i="7" s="1"/>
  <c r="P37" i="7"/>
  <c r="N37" i="7"/>
  <c r="P70" i="7"/>
  <c r="N69" i="7"/>
  <c r="P69" i="7"/>
  <c r="N39" i="7"/>
  <c r="N70" i="7" l="1"/>
  <c r="N8" i="7" s="1"/>
  <c r="P38" i="7"/>
  <c r="P7" i="7" s="1"/>
  <c r="P39" i="7"/>
  <c r="P8" i="7" s="1"/>
  <c r="N38" i="7"/>
  <c r="N7" i="7" s="1"/>
  <c r="N68" i="7"/>
  <c r="N6" i="7" s="1"/>
  <c r="P68" i="7"/>
  <c r="P6" i="7" s="1"/>
  <c r="G68" i="7" l="1"/>
  <c r="M68" i="7"/>
  <c r="H37" i="7"/>
  <c r="F68" i="7"/>
  <c r="J68" i="7"/>
  <c r="I68" i="7"/>
  <c r="L37" i="7"/>
  <c r="K68" i="7"/>
  <c r="E68" i="7"/>
  <c r="G37" i="7" l="1"/>
  <c r="G6" i="7" s="1"/>
  <c r="I37" i="7"/>
  <c r="I6" i="7" s="1"/>
  <c r="M37" i="7"/>
  <c r="M6" i="7" s="1"/>
  <c r="F37" i="7"/>
  <c r="F6" i="7" s="1"/>
  <c r="J37" i="7"/>
  <c r="J6" i="7" s="1"/>
  <c r="L68" i="7"/>
  <c r="L6" i="7" s="1"/>
  <c r="J70" i="7"/>
  <c r="K39" i="7"/>
  <c r="I69" i="7"/>
  <c r="M38" i="7"/>
  <c r="M70" i="7"/>
  <c r="K37" i="7"/>
  <c r="K6" i="7" s="1"/>
  <c r="K38" i="7"/>
  <c r="E70" i="7"/>
  <c r="H69" i="7"/>
  <c r="H70" i="7"/>
  <c r="G69" i="7"/>
  <c r="H68" i="7"/>
  <c r="H6" i="7" s="1"/>
  <c r="L38" i="7"/>
  <c r="G70" i="7"/>
  <c r="F69" i="7"/>
  <c r="I70" i="7"/>
  <c r="L39" i="7"/>
  <c r="E69" i="7"/>
  <c r="F39" i="7"/>
  <c r="J38" i="7"/>
  <c r="H38" i="7" l="1"/>
  <c r="H7" i="7" s="1"/>
  <c r="J39" i="7"/>
  <c r="J8" i="7" s="1"/>
  <c r="K70" i="7"/>
  <c r="K8" i="7" s="1"/>
  <c r="M69" i="7"/>
  <c r="M7" i="7" s="1"/>
  <c r="F38" i="7"/>
  <c r="F7" i="7" s="1"/>
  <c r="I38" i="7"/>
  <c r="I7" i="7" s="1"/>
  <c r="M39" i="7"/>
  <c r="M8" i="7" s="1"/>
  <c r="F70" i="7"/>
  <c r="F8" i="7" s="1"/>
  <c r="L69" i="7"/>
  <c r="L7" i="7" s="1"/>
  <c r="H39" i="7"/>
  <c r="H8" i="7" s="1"/>
  <c r="L70" i="7"/>
  <c r="L8" i="7" s="1"/>
  <c r="K69" i="7"/>
  <c r="K7" i="7" s="1"/>
  <c r="G38" i="7"/>
  <c r="G7" i="7" s="1"/>
  <c r="I39" i="7"/>
  <c r="I8" i="7" s="1"/>
  <c r="G39" i="7"/>
  <c r="G8" i="7" s="1"/>
  <c r="J69" i="7"/>
  <c r="J7" i="7" s="1"/>
  <c r="O37" i="7" l="1"/>
  <c r="O69" i="7" l="1"/>
  <c r="O68" i="7"/>
  <c r="O70" i="7"/>
  <c r="O6" i="7" l="1"/>
  <c r="O38" i="7"/>
  <c r="O7" i="7" s="1"/>
  <c r="O39" i="7"/>
  <c r="O8" i="7" s="1"/>
  <c r="F14" i="4"/>
  <c r="E35" i="7" l="1"/>
  <c r="H14" i="4"/>
  <c r="E53" i="7" l="1"/>
  <c r="E22" i="7" s="1"/>
  <c r="E44" i="7"/>
  <c r="E13" i="7" s="1"/>
  <c r="E43" i="7"/>
  <c r="E12" i="7" s="1"/>
  <c r="E38" i="7"/>
  <c r="E7" i="7" s="1"/>
  <c r="E57" i="7"/>
  <c r="E26" i="7" s="1"/>
  <c r="E52" i="7"/>
  <c r="E21" i="7" s="1"/>
  <c r="E46" i="7"/>
  <c r="E15" i="7" s="1"/>
  <c r="E59" i="7"/>
  <c r="E28" i="7" s="1"/>
  <c r="E49" i="7"/>
  <c r="E18" i="7" s="1"/>
  <c r="E45" i="7"/>
  <c r="E14" i="7" s="1"/>
  <c r="E62" i="7"/>
  <c r="E31" i="7" s="1"/>
  <c r="E40" i="7"/>
  <c r="E9" i="7" s="1"/>
  <c r="E42" i="7"/>
  <c r="E11" i="7" s="1"/>
  <c r="E41" i="7"/>
  <c r="E10" i="7" s="1"/>
  <c r="E60" i="7"/>
  <c r="E29" i="7" s="1"/>
  <c r="E55" i="7"/>
  <c r="E24" i="7" s="1"/>
  <c r="E54" i="7"/>
  <c r="E23" i="7" s="1"/>
  <c r="E51" i="7"/>
  <c r="E20" i="7" s="1"/>
  <c r="E47" i="7"/>
  <c r="E16" i="7" s="1"/>
  <c r="E58" i="7"/>
  <c r="E27" i="7" s="1"/>
  <c r="E56" i="7"/>
  <c r="E25" i="7" s="1"/>
  <c r="E37" i="7"/>
  <c r="E6" i="7" s="1"/>
  <c r="E61" i="7"/>
  <c r="E30" i="7" s="1"/>
  <c r="E39" i="7"/>
  <c r="E8" i="7" s="1"/>
  <c r="E48" i="7"/>
  <c r="E17" i="7" s="1"/>
  <c r="E50" i="7"/>
  <c r="E19" i="7" s="1"/>
  <c r="M32" i="1" l="1"/>
  <c r="O32" i="1"/>
  <c r="P19" i="1" l="1"/>
  <c r="E32" i="1"/>
  <c r="H32" i="1"/>
  <c r="G32" i="1"/>
  <c r="L32" i="1"/>
  <c r="N32" i="1"/>
  <c r="K32" i="1"/>
  <c r="I32" i="1"/>
  <c r="J32" i="1"/>
  <c r="R66" i="7" l="1"/>
  <c r="D32" i="1"/>
  <c r="Q66" i="7"/>
  <c r="Q84" i="7" s="1"/>
  <c r="R35" i="7"/>
  <c r="P18" i="1"/>
  <c r="P32" i="1" s="1"/>
  <c r="F32" i="1"/>
  <c r="R53" i="7" l="1"/>
  <c r="R46" i="7"/>
  <c r="R42" i="7"/>
  <c r="R47" i="7"/>
  <c r="R54" i="7"/>
  <c r="R39" i="7"/>
  <c r="R58" i="7"/>
  <c r="R60" i="7"/>
  <c r="R52" i="7"/>
  <c r="R49" i="7"/>
  <c r="R40" i="7"/>
  <c r="R45" i="7"/>
  <c r="R61" i="7"/>
  <c r="R51" i="7"/>
  <c r="R41" i="7"/>
  <c r="R50" i="7"/>
  <c r="R38" i="7"/>
  <c r="R43" i="7"/>
  <c r="R37" i="7"/>
  <c r="R56" i="7"/>
  <c r="R57" i="7"/>
  <c r="R48" i="7"/>
  <c r="R55" i="7"/>
  <c r="R59" i="7"/>
  <c r="R62" i="7"/>
  <c r="R44" i="7"/>
  <c r="R84" i="7"/>
  <c r="AE84" i="7" s="1"/>
  <c r="R85" i="7"/>
  <c r="R80" i="7"/>
  <c r="R71" i="7"/>
  <c r="R92" i="7"/>
  <c r="R93" i="7"/>
  <c r="R79" i="7"/>
  <c r="R77" i="7"/>
  <c r="R87" i="7"/>
  <c r="R90" i="7"/>
  <c r="R86" i="7"/>
  <c r="R81" i="7"/>
  <c r="R83" i="7"/>
  <c r="R78" i="7"/>
  <c r="R76" i="7"/>
  <c r="R88" i="7"/>
  <c r="R70" i="7"/>
  <c r="R74" i="7"/>
  <c r="R69" i="7"/>
  <c r="R82" i="7"/>
  <c r="R72" i="7"/>
  <c r="R68" i="7"/>
  <c r="R73" i="7"/>
  <c r="R89" i="7"/>
  <c r="R91" i="7"/>
  <c r="R75" i="7"/>
  <c r="F26" i="4"/>
  <c r="H26" i="4" s="1"/>
  <c r="J39" i="4"/>
  <c r="R20" i="7" l="1"/>
  <c r="R13" i="7"/>
  <c r="R10" i="7"/>
  <c r="R29" i="7"/>
  <c r="R17" i="7"/>
  <c r="R6" i="7"/>
  <c r="R18" i="7"/>
  <c r="R27" i="7"/>
  <c r="R14" i="7"/>
  <c r="R8" i="7"/>
  <c r="R26" i="7"/>
  <c r="R21" i="7"/>
  <c r="R19" i="7"/>
  <c r="R23" i="7"/>
  <c r="R16" i="7"/>
  <c r="R9" i="7"/>
  <c r="R31" i="7"/>
  <c r="R11" i="7"/>
  <c r="R7" i="7"/>
  <c r="R25" i="7"/>
  <c r="R28" i="7"/>
  <c r="R15" i="7"/>
  <c r="R12" i="7"/>
  <c r="R24" i="7"/>
  <c r="R30" i="7"/>
  <c r="R22" i="7"/>
  <c r="Q75" i="7"/>
  <c r="AE75" i="7" s="1"/>
  <c r="AE66" i="7"/>
  <c r="Q35" i="7"/>
  <c r="Q53" i="7" s="1"/>
  <c r="AE53" i="7" s="1"/>
  <c r="F39" i="4"/>
  <c r="Q68" i="7"/>
  <c r="AE68" i="7" s="1"/>
  <c r="Q72" i="7"/>
  <c r="AE72" i="7" s="1"/>
  <c r="Q81" i="7"/>
  <c r="AE81" i="7" s="1"/>
  <c r="Q83" i="7"/>
  <c r="AE83" i="7" s="1"/>
  <c r="Q78" i="7"/>
  <c r="AE78" i="7" s="1"/>
  <c r="Q79" i="7"/>
  <c r="AE79" i="7" s="1"/>
  <c r="Q76" i="7"/>
  <c r="AE76" i="7" s="1"/>
  <c r="Q85" i="7"/>
  <c r="AE85" i="7" s="1"/>
  <c r="Q69" i="7"/>
  <c r="AE69" i="7" s="1"/>
  <c r="Q82" i="7"/>
  <c r="AE82" i="7" s="1"/>
  <c r="Q71" i="7"/>
  <c r="AE71" i="7" s="1"/>
  <c r="Q91" i="7"/>
  <c r="AE91" i="7" s="1"/>
  <c r="Q86" i="7"/>
  <c r="AE86" i="7" s="1"/>
  <c r="Q73" i="7"/>
  <c r="AE73" i="7" s="1"/>
  <c r="Q92" i="7"/>
  <c r="AE92" i="7" s="1"/>
  <c r="Q70" i="7"/>
  <c r="AE70" i="7" s="1"/>
  <c r="Q80" i="7"/>
  <c r="AE80" i="7" s="1"/>
  <c r="Q88" i="7"/>
  <c r="AE88" i="7" s="1"/>
  <c r="Q93" i="7"/>
  <c r="AE93" i="7" s="1"/>
  <c r="Q87" i="7"/>
  <c r="AE87" i="7" s="1"/>
  <c r="Q77" i="7"/>
  <c r="AE77" i="7" s="1"/>
  <c r="Q89" i="7"/>
  <c r="AE89" i="7" s="1"/>
  <c r="Q90" i="7"/>
  <c r="AE90" i="7" s="1"/>
  <c r="Q74" i="7"/>
  <c r="AE74" i="7" s="1"/>
  <c r="Q22" i="7" l="1"/>
  <c r="Q44" i="7"/>
  <c r="AE44" i="7" s="1"/>
  <c r="AE35" i="7"/>
  <c r="Q56" i="7"/>
  <c r="Q49" i="7"/>
  <c r="Q43" i="7"/>
  <c r="Q39" i="7"/>
  <c r="Q62" i="7"/>
  <c r="Q42" i="7"/>
  <c r="Q60" i="7"/>
  <c r="Q38" i="7"/>
  <c r="Q52" i="7"/>
  <c r="Q46" i="7"/>
  <c r="AE46" i="7" s="1"/>
  <c r="Q41" i="7"/>
  <c r="Q37" i="7"/>
  <c r="Q57" i="7"/>
  <c r="Q50" i="7"/>
  <c r="Q59" i="7"/>
  <c r="Q51" i="7"/>
  <c r="Q55" i="7"/>
  <c r="Q47" i="7"/>
  <c r="Q40" i="7"/>
  <c r="Q54" i="7"/>
  <c r="Q61" i="7"/>
  <c r="Q45" i="7"/>
  <c r="Q58" i="7"/>
  <c r="Q48" i="7"/>
  <c r="AE22" i="7" l="1"/>
  <c r="Q23" i="7"/>
  <c r="AE23" i="7" s="1"/>
  <c r="AE54" i="7"/>
  <c r="Q31" i="7"/>
  <c r="AE31" i="7" s="1"/>
  <c r="AE62" i="7"/>
  <c r="Q29" i="7"/>
  <c r="AE29" i="7" s="1"/>
  <c r="AE60" i="7"/>
  <c r="Q20" i="7"/>
  <c r="AE20" i="7" s="1"/>
  <c r="AE51" i="7"/>
  <c r="Q12" i="7"/>
  <c r="AE12" i="7" s="1"/>
  <c r="AE43" i="7"/>
  <c r="Q10" i="7"/>
  <c r="AE10" i="7" s="1"/>
  <c r="AE41" i="7"/>
  <c r="Q7" i="7"/>
  <c r="AE7" i="7" s="1"/>
  <c r="AE38" i="7"/>
  <c r="Q24" i="7"/>
  <c r="AE24" i="7" s="1"/>
  <c r="AE55" i="7"/>
  <c r="Q28" i="7"/>
  <c r="AE28" i="7" s="1"/>
  <c r="AE59" i="7"/>
  <c r="Q19" i="7"/>
  <c r="AE19" i="7" s="1"/>
  <c r="AE50" i="7"/>
  <c r="Q18" i="7"/>
  <c r="AE18" i="7" s="1"/>
  <c r="AE49" i="7"/>
  <c r="Q17" i="7"/>
  <c r="AE17" i="7" s="1"/>
  <c r="AE48" i="7"/>
  <c r="Q25" i="7"/>
  <c r="AE56" i="7"/>
  <c r="Q27" i="7"/>
  <c r="AE27" i="7" s="1"/>
  <c r="AE58" i="7"/>
  <c r="Q14" i="7"/>
  <c r="AE14" i="7" s="1"/>
  <c r="AE45" i="7"/>
  <c r="Q15" i="7"/>
  <c r="Q9" i="7"/>
  <c r="AE9" i="7" s="1"/>
  <c r="AE40" i="7"/>
  <c r="Q16" i="7"/>
  <c r="AE47" i="7"/>
  <c r="Q11" i="7"/>
  <c r="AE11" i="7" s="1"/>
  <c r="AF11" i="7" s="1"/>
  <c r="G40" i="9" s="1"/>
  <c r="AE42" i="7"/>
  <c r="Q8" i="7"/>
  <c r="AE8" i="7" s="1"/>
  <c r="AF8" i="7" s="1"/>
  <c r="AE39" i="7"/>
  <c r="Q26" i="7"/>
  <c r="AE26" i="7" s="1"/>
  <c r="AE57" i="7"/>
  <c r="Q6" i="7"/>
  <c r="AE37" i="7"/>
  <c r="Q30" i="7"/>
  <c r="AE30" i="7" s="1"/>
  <c r="AE61" i="7"/>
  <c r="Q21" i="7"/>
  <c r="AE21" i="7" s="1"/>
  <c r="AE52" i="7"/>
  <c r="Q13" i="7"/>
  <c r="AE13" i="7" s="1"/>
  <c r="G35" i="9" l="1"/>
  <c r="L44" i="9"/>
  <c r="K17" i="9" s="1"/>
  <c r="AF19" i="7"/>
  <c r="M44" i="9" s="1"/>
  <c r="R45" i="9"/>
  <c r="E27" i="9" s="1"/>
  <c r="AF30" i="7"/>
  <c r="S45" i="9" s="1"/>
  <c r="L46" i="9"/>
  <c r="K19" i="9" s="1"/>
  <c r="AF21" i="7"/>
  <c r="M46" i="9" s="1"/>
  <c r="R46" i="9"/>
  <c r="K28" i="9" s="1"/>
  <c r="AF31" i="7"/>
  <c r="S46" i="9" s="1"/>
  <c r="F41" i="9"/>
  <c r="L35" i="9"/>
  <c r="E11" i="9" s="1"/>
  <c r="AF14" i="7"/>
  <c r="M35" i="9" s="1"/>
  <c r="R41" i="9"/>
  <c r="E23" i="9" s="1"/>
  <c r="AF26" i="7"/>
  <c r="S41" i="9" s="1"/>
  <c r="R42" i="9"/>
  <c r="E24" i="9" s="1"/>
  <c r="AF27" i="7"/>
  <c r="S42" i="9" s="1"/>
  <c r="L42" i="9"/>
  <c r="E15" i="9" s="1"/>
  <c r="AF17" i="7"/>
  <c r="M42" i="9" s="1"/>
  <c r="L43" i="9"/>
  <c r="K16" i="9" s="1"/>
  <c r="AF18" i="7"/>
  <c r="M43" i="9" s="1"/>
  <c r="AE6" i="7"/>
  <c r="F37" i="9" s="1"/>
  <c r="R43" i="9"/>
  <c r="K25" i="9" s="1"/>
  <c r="AF28" i="7"/>
  <c r="S43" i="9" s="1"/>
  <c r="L49" i="9"/>
  <c r="K22" i="9" s="1"/>
  <c r="AF24" i="7"/>
  <c r="M49" i="9" s="1"/>
  <c r="AE25" i="7"/>
  <c r="AF25" i="7" s="1"/>
  <c r="M37" i="9" s="1"/>
  <c r="L48" i="9"/>
  <c r="E21" i="9" s="1"/>
  <c r="AF23" i="7"/>
  <c r="M48" i="9" s="1"/>
  <c r="F45" i="9"/>
  <c r="K9" i="9" s="1"/>
  <c r="AF12" i="7"/>
  <c r="G45" i="9" s="1"/>
  <c r="L45" i="9"/>
  <c r="E18" i="9" s="1"/>
  <c r="AF20" i="7"/>
  <c r="M45" i="9" s="1"/>
  <c r="R44" i="9"/>
  <c r="E26" i="9" s="1"/>
  <c r="AF29" i="7"/>
  <c r="S44" i="9" s="1"/>
  <c r="F47" i="9"/>
  <c r="K10" i="9" s="1"/>
  <c r="AF13" i="7"/>
  <c r="G47" i="9" s="1"/>
  <c r="L47" i="9"/>
  <c r="K20" i="9" s="1"/>
  <c r="AF22" i="7"/>
  <c r="M47" i="9" s="1"/>
  <c r="F38" i="9"/>
  <c r="AE16" i="7"/>
  <c r="AE15" i="7"/>
  <c r="F43" i="9"/>
  <c r="F42" i="9"/>
  <c r="E17" i="9" l="1"/>
  <c r="K21" i="9"/>
  <c r="K24" i="9"/>
  <c r="E28" i="9"/>
  <c r="K27" i="9"/>
  <c r="E9" i="9"/>
  <c r="E22" i="9"/>
  <c r="E16" i="9"/>
  <c r="K15" i="9"/>
  <c r="E19" i="9"/>
  <c r="E25" i="9"/>
  <c r="K23" i="9"/>
  <c r="K7" i="9"/>
  <c r="E20" i="9"/>
  <c r="K26" i="9"/>
  <c r="E10" i="9"/>
  <c r="F36" i="9"/>
  <c r="F35" i="9" s="1"/>
  <c r="E7" i="9" s="1"/>
  <c r="L36" i="9"/>
  <c r="E12" i="9" s="1"/>
  <c r="AF15" i="7"/>
  <c r="M36" i="9" s="1"/>
  <c r="L37" i="9"/>
  <c r="L41" i="9"/>
  <c r="K14" i="9" s="1"/>
  <c r="AF16" i="7"/>
  <c r="M41" i="9" s="1"/>
  <c r="K18" i="9"/>
  <c r="K11" i="9"/>
  <c r="F40" i="9"/>
  <c r="K8" i="9" s="1"/>
  <c r="K12" i="9" l="1"/>
  <c r="E14" i="9"/>
  <c r="K13" i="9"/>
  <c r="E13" i="9"/>
  <c r="E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tc={FFEAF88B-61DC-44A4-88C6-02AF7C52E5AB}</author>
  </authors>
  <commentList>
    <comment ref="A23" authorId="0" shapeId="0" xr:uid="{FFEAF88B-61DC-44A4-88C6-02AF7C52E5AB}">
      <text>
        <t>[Threaded comment]
Your version of Excel allows you to read this threaded comment; however, any edits to it will get removed if the file is opened in a newer version of Excel. Learn more: https://go.microsoft.com/fwlink/?linkid=870924
Comment:
    Link to be added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tc={FC3439FA-E377-40FE-9990-91BB72D02849}</author>
    <author>tc={BA66393B-DF28-4884-B536-DEA2F4FDFE3F}</author>
  </authors>
  <commentList>
    <comment ref="B14" authorId="0" shapeId="0" xr:uid="{FC3439FA-E377-40FE-9990-91BB72D02849}">
      <text>
        <t>[Threaded comment]
Your version of Excel allows you to read this threaded comment; however, any edits to it will get removed if the file is opened in a newer version of Excel. Learn more: https://go.microsoft.com/fwlink/?linkid=870924
Comment:
    SEPP: Steep, erosion-prone pasture</t>
      </text>
    </comment>
    <comment ref="B23" authorId="1" shapeId="0" xr:uid="{BA66393B-DF28-4884-B536-DEA2F4FDFE3F}">
      <text>
        <t xml:space="preserve">[Threaded comment]
Your version of Excel allows you to read this threaded comment; however, any edits to it will get removed if the file is opened in a newer version of Excel. Learn more: https://go.microsoft.com/fwlink/?linkid=870924
Comment:
    Criteria to determine land areas that exhibit potential for kiwifruit include: LUC 1-3, areas with slope less than 7 degrees, non-forestry land, areas adjacent to existing kiwifruit. See more detail in Chhun et al. (2025, p. 30-31)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tc={DB213A00-DA02-4103-B993-AEC5FBD98798}</author>
  </authors>
  <commentList>
    <comment ref="A17" authorId="0" shapeId="0" xr:uid="{DB213A00-DA02-4103-B993-AEC5FBD98798}">
      <text>
        <t>[Threaded comment]
Your version of Excel allows you to read this threaded comment; however, any edits to it will get removed if the file is opened in a newer version of Excel. Learn more: https://go.microsoft.com/fwlink/?linkid=870924
Comment:
    Split into plantation and permanent forestry</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tc={7BA1A53F-3532-4DFF-92E0-FF3D39737166}</author>
    <author>tc={47813F3E-717F-4121-84D4-F03F58224B87}</author>
    <author>tc={8922495D-75E7-4510-9A24-8D9F3972D6C0}</author>
    <author>tc={20DE303C-59CF-4D3C-BCF3-4474ECF01F54}</author>
    <author>tc={1B97E4C3-3DCD-4E8B-B81E-874F228BE04C}</author>
    <author>tc={8DE6FAAE-F4A0-4267-9E16-9DAB7934AD7C}</author>
  </authors>
  <commentList>
    <comment ref="B9" authorId="0" shapeId="0" xr:uid="{7BA1A53F-3532-4DFF-92E0-FF3D39737166}">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@Paul Scholes @Alastair Suren please help check the description of the environmental indicators and if it captures your considerations</t>
      </text>
    </comment>
    <comment ref="C11" authorId="1" shapeId="0" xr:uid="{47813F3E-717F-4121-84D4-F03F58224B87}">
      <text>
        <t>[Threaded comment]
Your version of Excel allows you to read this threaded comment; however, any edits to it will get removed if the file is opened in a newer version of Excel. Learn more: https://go.microsoft.com/fwlink/?linkid=870924
Comment:
    @Paul Scholes can you please give a description of this Sed loss indicator?</t>
      </text>
    </comment>
    <comment ref="D15" authorId="2" shapeId="0" xr:uid="{8922495D-75E7-4510-9A24-8D9F3972D6C0}">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@Gemma Moleta please help check if this captures your considerations
Reply:
    done</t>
      </text>
    </comment>
    <comment ref="C17" authorId="3" shapeId="0" xr:uid="{20DE303C-59CF-4D3C-BCF3-4474ECF01F54}">
      <text>
        <t xml:space="preserve">[Threaded comment]
Your version of Excel allows you to read this threaded comment; however, any edits to it will get removed if the file is opened in a newer version of Excel. Learn more: https://go.microsoft.com/fwlink/?linkid=870924
Comment:
    @Jackson Efford Soil Health? Soil quality is generally used in a more land-use specific context, for instance a good soil quality for forestry may be a poor soil quality for dairy. It’s can therefore be important to ask: ‘Soil quality…for what? Whereas soil health more broadly refers to the condition of the soil and whether the soil has been degraded. 
Soil health and soil quality » New Zealand Soils Portal - Manaaki Whenua - Landcare Research </t>
      </text>
    </comment>
    <comment ref="D19" authorId="4" shapeId="0" xr:uid="{1B97E4C3-3DCD-4E8B-B81E-874F228BE04C}">
      <text>
        <t>[Threaded comment]
Your version of Excel allows you to read this threaded comment; however, any edits to it will get removed if the file is opened in a newer version of Excel. Learn more: https://go.microsoft.com/fwlink/?linkid=870924
Comment:
    @Santiago Bermeo please add how you came up with the figures
Reply:
    Done</t>
      </text>
    </comment>
    <comment ref="C21" authorId="5" shapeId="0" xr:uid="{8DE6FAAE-F4A0-4267-9E16-9DAB7934AD7C}">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@Rebecca Lepa The description of the scoring sounds ok. But can you please add a brief explanation of each term or is it self explanatory?</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tc={66CF0E42-530D-4E58-B4BF-E89C5667A0E6}</author>
  </authors>
  <commentList>
    <comment ref="A1" authorId="0" shapeId="0" xr:uid="{66CF0E42-530D-4E58-B4BF-E89C5667A0E6}">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@Santiago Bermeo @Jackson Efford @Gemma Moleta @Paul Scholes @Alastair Suren @Rebecca Lepa @Glenys Kroon Please list below works that you were based on when assessing each indicator</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futureMetadata>
  <valueMetadata count="22">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valueMetadata>
</metadata>
</file>

<file path=xl/sharedStrings.xml><?xml version="1.0" encoding="utf-8"?>
<sst xmlns="http://schemas.openxmlformats.org/spreadsheetml/2006/main" count="2751" uniqueCount="242">
  <si>
    <t>Land Use Change Assessor (LUCA)</t>
  </si>
  <si>
    <t>Updated January 2026</t>
  </si>
  <si>
    <t>Published by Bay of Plenty Regional Council (BOPRC) at:</t>
  </si>
  <si>
    <t>Link to be added</t>
  </si>
  <si>
    <t>Related documents:</t>
  </si>
  <si>
    <t>This modelling tool should be read in conjunction with the following documents:</t>
  </si>
  <si>
    <t>1. User guide</t>
  </si>
  <si>
    <t>2. Background document</t>
  </si>
  <si>
    <t>3. Mapping tools</t>
  </si>
  <si>
    <t>Overview</t>
  </si>
  <si>
    <t>LUCA is designed to help users—particularly planners and catchment groups—explore and assess the impacts of land-use change scenarios at the Freshwater Management Unit (FMU) level within the Bay of Plenty (BOP) region. The tool provides a platform for evaluating the positive and negative effects land use change can have on environmental, social, and economic wellbeing. This enables users to understand the trade-offs across these three domains of wellbeing under a given scenario.</t>
  </si>
  <si>
    <t>The tool has been adapted from work undertaken as part of our Land and Water National Science Challenges. Details of the adaptation process are outlined in the background document, which can be downloaded from the link above.</t>
  </si>
  <si>
    <t>Contact for help with the use of, and/or questions/comments/suggestions relating to, the LUCA tool</t>
  </si>
  <si>
    <t>Disclaimer</t>
  </si>
  <si>
    <t xml:space="preserve">LUCA is aimed to be a conversation starter, to help users explore their options or scenarios of land use changes (without policy intervention) and test different assumptions to achieve their desired environmental, social, and/or economic outcomes. Users are encouraged to do their own due diligence before deciding on land use changes. Regional Council does not accept any responsibility or liability for losses, claims, damages or costs arising from the use of the tool. </t>
  </si>
  <si>
    <t>LAND USE SCENARIO</t>
  </si>
  <si>
    <t>INSTRUCTION (note on the colour coding below):</t>
  </si>
  <si>
    <t>Þ</t>
  </si>
  <si>
    <t>Orange: You must select from the dropdown list a FMU of your interest</t>
  </si>
  <si>
    <t>Green: You must review and accept or alter pre-populated information about baseline land uses based on actual circumstances</t>
  </si>
  <si>
    <r>
      <t xml:space="preserve">Grey: You may specify any Custom Land Use (A, B, C) and associated "Baseline" data (ha) - </t>
    </r>
    <r>
      <rPr>
        <b/>
        <sz val="11"/>
        <rFont val="Aptos Narrow"/>
        <family val="2"/>
        <scheme val="minor"/>
      </rPr>
      <t>OPTIONAL</t>
    </r>
  </si>
  <si>
    <r>
      <t xml:space="preserve">Blue: You must specify the area (ha) of potential Land Use </t>
    </r>
    <r>
      <rPr>
        <sz val="11"/>
        <color theme="1"/>
        <rFont val="Aptos Narrow"/>
        <family val="2"/>
      </rPr>
      <t>Δ that you wish to explore</t>
    </r>
  </si>
  <si>
    <t>No fill: You cannot change the pre-populated information</t>
  </si>
  <si>
    <t>Click the "Next" button below the table to continue</t>
  </si>
  <si>
    <t>FMU / CATCHMENT:</t>
  </si>
  <si>
    <t>Waihī Estuary</t>
  </si>
  <si>
    <t>Land use</t>
  </si>
  <si>
    <r>
      <t xml:space="preserve">Land Use </t>
    </r>
    <r>
      <rPr>
        <b/>
        <sz val="11"/>
        <color theme="1"/>
        <rFont val="Aptos Narrow"/>
        <family val="2"/>
      </rPr>
      <t>Δ</t>
    </r>
  </si>
  <si>
    <t>Scenario</t>
  </si>
  <si>
    <t>% of scenario to baseline land use</t>
  </si>
  <si>
    <t>ha</t>
  </si>
  <si>
    <t>Custom Land Use A</t>
  </si>
  <si>
    <t>Custom Land Use B</t>
  </si>
  <si>
    <t>Custom Land Use C</t>
  </si>
  <si>
    <t>MODEL INPUTS</t>
  </si>
  <si>
    <t xml:space="preserve">Default assumptions about economic, environmental and social impacts by land use in the applicable FMU/Catchment are pre-populated. </t>
  </si>
  <si>
    <t>Click here to see a Glossary of all indicators and their measures (including the interpretation of the scoring).</t>
  </si>
  <si>
    <t>INSTRUCTION (note the colour coding below):</t>
  </si>
  <si>
    <t xml:space="preserve">Green: You must review and accept or alter the pre-populated assumptions to reflect specific circumstances in the applicable FMU. </t>
  </si>
  <si>
    <t>If you entered a "Custom Land Use" in the 'Scenario' tab, you must enter an assumption about its impact for each indicator in relevant cells.</t>
  </si>
  <si>
    <t>Click the "Next" button below the table to show results.</t>
  </si>
  <si>
    <t>Domain</t>
  </si>
  <si>
    <t>Indicator</t>
  </si>
  <si>
    <t>Unit</t>
  </si>
  <si>
    <t>Sheep + Beef  (SEPP)</t>
  </si>
  <si>
    <t>Sheep + Beef  (Non-SEPP)</t>
  </si>
  <si>
    <t>Dairy (SEPP)</t>
  </si>
  <si>
    <t>Dairy (Non-SEPP)</t>
  </si>
  <si>
    <t>Dairy support/high intensity beef or dairy grazing (SEPP)</t>
  </si>
  <si>
    <t>Dairy support/high intensity beef or dairy grazing (Non-SEPP)</t>
  </si>
  <si>
    <t>Deer (SEPP)</t>
  </si>
  <si>
    <t>Deer (Non-SEPP)</t>
  </si>
  <si>
    <t>Arable/vegetables</t>
  </si>
  <si>
    <t>Kiwifruit</t>
  </si>
  <si>
    <t>Other horticulture</t>
  </si>
  <si>
    <t>Forestry - Exotic</t>
  </si>
  <si>
    <t>Forestry - Indigenous pre-1990</t>
  </si>
  <si>
    <t>Forestry - Indigenous post-1989</t>
  </si>
  <si>
    <t>Parks and Recreation</t>
  </si>
  <si>
    <t>Wetlands</t>
  </si>
  <si>
    <t>Urban/road/rail</t>
  </si>
  <si>
    <t>Lifestyle block or mixed land use (SEPP)</t>
  </si>
  <si>
    <t>Lifestyle block or mixed land use (Non-SEPP)</t>
  </si>
  <si>
    <t>Hydro</t>
  </si>
  <si>
    <t>Other</t>
  </si>
  <si>
    <t>Scrub</t>
  </si>
  <si>
    <t>Economic</t>
  </si>
  <si>
    <t>Value-added - Direct impact</t>
  </si>
  <si>
    <t>$/ha/year</t>
  </si>
  <si>
    <t>Value-added - Direct &amp; indirect impacts</t>
  </si>
  <si>
    <t>Value-added - Direct, indirect &amp; induced impacts</t>
  </si>
  <si>
    <t>Employment - Direct impact</t>
  </si>
  <si>
    <t>MEC/ha</t>
  </si>
  <si>
    <t>Employment - Direct &amp; indirect impacts</t>
  </si>
  <si>
    <t>Employment - Direct, indirect &amp; induced impacts</t>
  </si>
  <si>
    <t>Land value</t>
  </si>
  <si>
    <t>$/ha</t>
  </si>
  <si>
    <t>Income</t>
  </si>
  <si>
    <t>$/year</t>
  </si>
  <si>
    <t>Environmental</t>
  </si>
  <si>
    <t>N loss</t>
  </si>
  <si>
    <t>kg/ha</t>
  </si>
  <si>
    <t>P loss</t>
  </si>
  <si>
    <t>Sediment loss</t>
  </si>
  <si>
    <t>Scoring</t>
  </si>
  <si>
    <t>E.coli loss</t>
  </si>
  <si>
    <t>River water quality</t>
  </si>
  <si>
    <t>Freshwater invertebrates</t>
  </si>
  <si>
    <t>Estuarine health</t>
  </si>
  <si>
    <t>Groundwater quality</t>
  </si>
  <si>
    <t>Pressure on water quantity</t>
  </si>
  <si>
    <t>Soil quality</t>
  </si>
  <si>
    <t>Biodiversity</t>
  </si>
  <si>
    <t>GHG emissions</t>
  </si>
  <si>
    <t>tCO2-e/ha/year</t>
  </si>
  <si>
    <t>Social</t>
  </si>
  <si>
    <t>Connection to nature</t>
  </si>
  <si>
    <t>Access to basic amenities</t>
  </si>
  <si>
    <t>Housing affordability</t>
  </si>
  <si>
    <t>Life satisfaction (current)</t>
  </si>
  <si>
    <t>Life satisfaction (future)</t>
  </si>
  <si>
    <t>Sense of belonging</t>
  </si>
  <si>
    <t>Median income</t>
  </si>
  <si>
    <t>RESULTS</t>
  </si>
  <si>
    <t>Overall Impacts across Wellbeing</t>
  </si>
  <si>
    <t>Possible benefits or no impacts of changes</t>
  </si>
  <si>
    <t>Possible negative impacts of changes</t>
  </si>
  <si>
    <t>Detailed Results</t>
  </si>
  <si>
    <t>Economic Impacts</t>
  </si>
  <si>
    <t xml:space="preserve">∆ GO </t>
  </si>
  <si>
    <t>% ∆</t>
  </si>
  <si>
    <t>Environmental Impacts</t>
  </si>
  <si>
    <t>Social Impacts</t>
  </si>
  <si>
    <t>Measures</t>
  </si>
  <si>
    <t>Value-added - Total regional impact</t>
  </si>
  <si>
    <t>Direct impact</t>
  </si>
  <si>
    <t>Indirect impact</t>
  </si>
  <si>
    <t>Induced impact</t>
  </si>
  <si>
    <t>Employment - Total regional impact</t>
  </si>
  <si>
    <t>Scores</t>
  </si>
  <si>
    <t>E. coli loss</t>
  </si>
  <si>
    <r>
      <t xml:space="preserve">NB. Numbers are based on FMU averages and reported figures should be considered </t>
    </r>
    <r>
      <rPr>
        <i/>
        <sz val="11"/>
        <color theme="1"/>
        <rFont val="Aptos Narrow"/>
        <family val="2"/>
        <scheme val="minor"/>
      </rPr>
      <t>indicative</t>
    </r>
    <r>
      <rPr>
        <sz val="11"/>
        <color theme="1"/>
        <rFont val="Aptos Narrow"/>
        <family val="2"/>
        <scheme val="minor"/>
      </rPr>
      <t xml:space="preserve"> of likely directions and scale of change</t>
    </r>
  </si>
  <si>
    <t>DETAILED RESULTS</t>
  </si>
  <si>
    <t>FMU</t>
  </si>
  <si>
    <t>ECONOMIC, ENVIRONMENTAL, AND SOCIAL IMPACTS</t>
  </si>
  <si>
    <t>Net impact</t>
  </si>
  <si>
    <t>% change</t>
  </si>
  <si>
    <t>$</t>
  </si>
  <si>
    <t>Employment -Direct impact</t>
  </si>
  <si>
    <t>MEC</t>
  </si>
  <si>
    <t>Employment -Direct &amp; indirect impacts</t>
  </si>
  <si>
    <t>Employment -Direct, indirect &amp; induced impacts</t>
  </si>
  <si>
    <t>kg</t>
  </si>
  <si>
    <t>tCO2-e</t>
  </si>
  <si>
    <t>Future land uses</t>
  </si>
  <si>
    <t>Total impact (Scenario)</t>
  </si>
  <si>
    <t>Baseline</t>
  </si>
  <si>
    <t>Current land uses</t>
  </si>
  <si>
    <t>Total impact (Baseline)</t>
  </si>
  <si>
    <t>ASSUMPTIONS</t>
  </si>
  <si>
    <t>This sheet sets all assumptions about economic, environmental, and social impacts by land use by FMU used in this integrated impact assessment modelling tool</t>
  </si>
  <si>
    <t>Economic impacts and some environmental and social impacts are measured in a typical metric, and these have been obtained from analysis of best available information/data.</t>
  </si>
  <si>
    <t>The rest of environmental and social impacts are measured in a wellbeing score between 1 and 10 (a higher score means a better outcome, i.e. lower negative impact for environmental indicators or higher positive impact for social indicators). Each score has no absolute interpretation. Instead, the impact on wellbeing by a given land use can only be understood relative to the impact on wellbeing by another land use. For a given land use, a score for an indicator is incomparable to that for another indicator.</t>
  </si>
  <si>
    <t>Most scores have been adapted from the original IIA framework as follows:
-  transform all the original scores (-2 to 2) to positive ones using a linear function and then scale them up to (to 10) allow enough differentiation between the impacts of different land uses. 
- validate the scores with subject matter experts.</t>
  </si>
  <si>
    <t>Scores for environmental indicators additional to those accounted for in the original IIA framework (including estuarine health and pressure on water quantity) have been assessed/obtained from opinions of subject matter experts.</t>
  </si>
  <si>
    <t>Note the colour coding that indicates the level of confidence in the assumptions below.</t>
  </si>
  <si>
    <t>More details about how economic, environmental, and social impacts have been measured/assessed are described in the background paper being developed.</t>
  </si>
  <si>
    <t>East Coast</t>
  </si>
  <si>
    <t>Kaituna</t>
  </si>
  <si>
    <t>Motiti</t>
  </si>
  <si>
    <t>Ōhiwa Harbour</t>
  </si>
  <si>
    <t>Rangitāiki</t>
  </si>
  <si>
    <t>Tarawera</t>
  </si>
  <si>
    <t>Tauranga Moana</t>
  </si>
  <si>
    <t>Rotorua Te Arawa Lakes</t>
  </si>
  <si>
    <t>Waioeka-Otara</t>
  </si>
  <si>
    <t>Waiōtahe</t>
  </si>
  <si>
    <t>Waitahanui</t>
  </si>
  <si>
    <t>Whakatāne</t>
  </si>
  <si>
    <t>Custom Catchment</t>
  </si>
  <si>
    <t/>
  </si>
  <si>
    <t>kg/ha/year</t>
  </si>
  <si>
    <t>Confidence</t>
  </si>
  <si>
    <t>Good level of certainty</t>
  </si>
  <si>
    <t>Fair level of certainty</t>
  </si>
  <si>
    <t>Low level of certainty</t>
  </si>
  <si>
    <t>Very low level of certainty</t>
  </si>
  <si>
    <t>LAND USE (HA) BASELINE DATA</t>
  </si>
  <si>
    <t>Source:</t>
  </si>
  <si>
    <t xml:space="preserve">LUCAS 2020 land use, BOPRC 2016/17 land use and 2023 Zespri dataset of kiwifruit blocks. Arbitrary choice when datasets were inconsistent. </t>
  </si>
  <si>
    <t>Land Use</t>
  </si>
  <si>
    <t>Total</t>
  </si>
  <si>
    <t>GLOSSARY</t>
  </si>
  <si>
    <t>Considerations</t>
  </si>
  <si>
    <t>Value-added (direct, indirect, and induced impacts)</t>
  </si>
  <si>
    <r>
      <t>Land use changes would result in a gain/loss in gross output and thereby positively/negatively affect value-added (contribution to GDP). Direct impact on value-added (</t>
    </r>
    <r>
      <rPr>
        <b/>
        <sz val="11"/>
        <color rgb="FF0070C0"/>
        <rFont val="Aptos Narrow"/>
        <family val="2"/>
        <scheme val="minor"/>
      </rPr>
      <t>measured in $/ha</t>
    </r>
    <r>
      <rPr>
        <sz val="11"/>
        <rFont val="Aptos Narrow"/>
        <family val="2"/>
        <scheme val="minor"/>
      </rPr>
      <t xml:space="preserve">) was first estimated by multiplying gross output generated by each land use (obtained from analysis of the best available data/information) by its associated impact ratio (obtained from Input-Output tables, regionalised for BOPRC by Market Economics). The gain/loss in value-added would have a flow-on effect on other inter-related industries (i.e. indirect impact), and the direct and indirect impacts would further affect household expenditure throughout the country (i.e. induced impact). However, in this analysis the indirect and induced impacts were limited within the BOP region, and these were estimated by multiplying the direct impact on value-added by its associated multiplier coefficients (extrapolated from the Input-Output tables). </t>
    </r>
  </si>
  <si>
    <t>Employment (direct, indirect, and induced impacts)</t>
  </si>
  <si>
    <r>
      <t>Similarly, the gain/loss in gross output from land use changes would positively/negatively affect employment. Direct impact on employment (</t>
    </r>
    <r>
      <rPr>
        <b/>
        <sz val="11"/>
        <color rgb="FF0070C0"/>
        <rFont val="Aptos Narrow"/>
        <family val="2"/>
        <scheme val="minor"/>
      </rPr>
      <t>measured in modified employment count - MEC</t>
    </r>
    <r>
      <rPr>
        <sz val="11"/>
        <rFont val="Aptos Narrow"/>
        <family val="2"/>
        <scheme val="minor"/>
      </rPr>
      <t>) was first estimated by multiplying gross output generated by each land use by its associated impact ratio, and the indirect and induced impacts on employment were then estimated by multiplying the direct impact by its associated coefficients.</t>
    </r>
  </si>
  <si>
    <r>
      <t>The median land value (</t>
    </r>
    <r>
      <rPr>
        <b/>
        <sz val="11"/>
        <color rgb="FF0070C0"/>
        <rFont val="Aptos Narrow"/>
        <family val="2"/>
        <scheme val="minor"/>
      </rPr>
      <t>measured in $/ha</t>
    </r>
    <r>
      <rPr>
        <sz val="11"/>
        <color rgb="FF000000"/>
        <rFont val="Aptos Narrow"/>
        <family val="2"/>
        <scheme val="minor"/>
      </rPr>
      <t xml:space="preserve">) by primary land use and FMU, based on the District Valuation Roll. </t>
    </r>
  </si>
  <si>
    <r>
      <t>Main earnings source, by industry (NZSIOC), Bay of Plenty Region, 2023 tax year (adjusted for inflation using Producer Price Index for 2025). Annual statistics based on Linked Employer-Employee Data (LEED) cover the tax year (April 1 to March 31).
Income (</t>
    </r>
    <r>
      <rPr>
        <b/>
        <sz val="11"/>
        <color rgb="FF0070C0"/>
        <rFont val="Aptos Narrow"/>
        <family val="2"/>
        <scheme val="minor"/>
      </rPr>
      <t>measured in $/year</t>
    </r>
    <r>
      <rPr>
        <sz val="11"/>
        <rFont val="Aptos Narrow"/>
        <family val="2"/>
        <scheme val="minor"/>
      </rPr>
      <t>) is closely connected to well-being in New Zealand, influencing various aspects of life including mental health, life satisfaction, child development, and access to essential services.</t>
    </r>
  </si>
  <si>
    <t>Learn more</t>
  </si>
  <si>
    <t>Get Data</t>
  </si>
  <si>
    <r>
      <t>This is the leaching of nitrate contaminants from land uses, not instream contributions or contaminants load expected to see in the receiving environment. The rates of N loss (</t>
    </r>
    <r>
      <rPr>
        <b/>
        <sz val="11"/>
        <color rgb="FF0070C0"/>
        <rFont val="Aptos Narrow"/>
        <family val="2"/>
        <scheme val="minor"/>
      </rPr>
      <t>measured in kg/ha</t>
    </r>
    <r>
      <rPr>
        <sz val="11"/>
        <color theme="1"/>
        <rFont val="Aptos Narrow"/>
        <family val="2"/>
        <scheme val="minor"/>
      </rPr>
      <t>) from relevant land uses by FMU were estimated from data compiled for the Water Quality &amp; Ecosystem Health Expert Panel (Bermeo, 2022 (unpublished)).</t>
    </r>
  </si>
  <si>
    <r>
      <rPr>
        <sz val="11"/>
        <color rgb="FF000000"/>
        <rFont val="Aptos Narrow"/>
        <family val="2"/>
      </rPr>
      <t>This is the contribution of phosphorus in runoff and leaching of phosphorus  from land uses, not instream contributions or contaminants load expected to see in the receiving environment. The rates of P loss (</t>
    </r>
    <r>
      <rPr>
        <b/>
        <sz val="11"/>
        <color rgb="FF0070C0"/>
        <rFont val="Aptos Narrow"/>
        <family val="2"/>
      </rPr>
      <t>measured in kg/ha</t>
    </r>
    <r>
      <rPr>
        <sz val="11"/>
        <color rgb="FF000000"/>
        <rFont val="Aptos Narrow"/>
        <family val="2"/>
      </rPr>
      <t>) by land use by FMU were estimated from data compiled for the Water Quality &amp; Ecosystem Health Expert Panel (Bermeo, 2022 (unpublished)).</t>
    </r>
  </si>
  <si>
    <t>Sed loss</t>
  </si>
  <si>
    <r>
      <t xml:space="preserve">Excess fine sediment negatively impacts freshwater ecosystems, either when suspended in the water column or by depositing on stream beds. Sediment loads as determined by NZSedNET modelling was linked to water clarity modelling (Suspended Fine Sediment (SFS)). Sediment loss (measured in t/ha) by FMU are </t>
    </r>
    <r>
      <rPr>
        <b/>
        <sz val="11"/>
        <color rgb="FF0070C0"/>
        <rFont val="Aptos Narrow"/>
        <family val="2"/>
        <scheme val="minor"/>
      </rPr>
      <t>scored from 1 to 10</t>
    </r>
    <r>
      <rPr>
        <sz val="11"/>
        <color theme="1"/>
        <rFont val="Aptos Narrow"/>
        <family val="2"/>
        <scheme val="minor"/>
      </rPr>
      <t xml:space="preserve"> (a higher score means less sediment impacting SFS).</t>
    </r>
  </si>
  <si>
    <r>
      <rPr>
        <sz val="11"/>
        <color rgb="FF000000"/>
        <rFont val="Aptos Narrow"/>
        <family val="2"/>
      </rPr>
      <t xml:space="preserve">This is an indication of the contribution of faecal contaminants (as measured by E. coli) from land uses, which can contain disease-causing organisms that can enter water bodies. The rates of E. coli loss by land use by FMU are </t>
    </r>
    <r>
      <rPr>
        <b/>
        <sz val="11"/>
        <color rgb="FF0070C0"/>
        <rFont val="Aptos Narrow"/>
        <family val="2"/>
      </rPr>
      <t>scored from 1 to 10</t>
    </r>
    <r>
      <rPr>
        <sz val="11"/>
        <color rgb="FF000000"/>
        <rFont val="Aptos Narrow"/>
        <family val="2"/>
      </rPr>
      <t xml:space="preserve"> (a higher score means less E. coli loss).</t>
    </r>
  </si>
  <si>
    <t>River Water Quality</t>
  </si>
  <si>
    <r>
      <rPr>
        <sz val="11"/>
        <color rgb="FF000000"/>
        <rFont val="Aptos Narrow"/>
        <family val="2"/>
      </rPr>
      <t xml:space="preserve">This is an assessment of the relative levels of risk to river water quality or health, caused by leaching of nitrate from different land uses.  The levels of risk by land use by FMU are </t>
    </r>
    <r>
      <rPr>
        <b/>
        <sz val="11"/>
        <color rgb="FF0070C0"/>
        <rFont val="Aptos Narrow"/>
        <family val="2"/>
      </rPr>
      <t>scored from 1 to 10</t>
    </r>
    <r>
      <rPr>
        <sz val="11"/>
        <rFont val="Aptos Narrow"/>
        <family val="2"/>
      </rPr>
      <t xml:space="preserve"> (a higher score means a lower risk to river health)</t>
    </r>
    <r>
      <rPr>
        <sz val="11"/>
        <color rgb="FF000000"/>
        <rFont val="Aptos Narrow"/>
        <family val="2"/>
      </rPr>
      <t xml:space="preserve">. Nitrate is assessed as E.coli and sediment are assessed separately and phosphorus is not currently seen as a major driver of water quality for much of the region. </t>
    </r>
  </si>
  <si>
    <r>
      <t xml:space="preserve">The presence (or absence) of freshwater invertebrates are used as an indicator of stream conditions -- the more invertebrates (due to less organic pollution and nutrient enrichment), the better stream conditions, and vice versa. The levels of risk to stream conditions caused by organic pollution and nutrient enrichment associated with land uses by FMU are </t>
    </r>
    <r>
      <rPr>
        <b/>
        <sz val="11"/>
        <color rgb="FF0070C0"/>
        <rFont val="Aptos Narrow"/>
        <family val="2"/>
        <scheme val="minor"/>
      </rPr>
      <t>scored from 1 to 10</t>
    </r>
    <r>
      <rPr>
        <sz val="11"/>
        <rFont val="Aptos Narrow"/>
        <family val="2"/>
        <scheme val="minor"/>
      </rPr>
      <t xml:space="preserve"> (a higher score means a better stream conditions).</t>
    </r>
  </si>
  <si>
    <r>
      <rPr>
        <sz val="11"/>
        <color rgb="FF000000"/>
        <rFont val="Aptos Narrow"/>
        <family val="2"/>
      </rPr>
      <t xml:space="preserve">This is an assessment of the relative levels of risk to estuarine health, caused by sediment loss and/or leaching/loss of nutrients from different land uses dependent on what contaminants the estuary is most susceptible to.  E.coli. loss not covered in this attribute. The levels of risk by land use by FMU are </t>
    </r>
    <r>
      <rPr>
        <b/>
        <sz val="11"/>
        <color rgb="FF0070C0"/>
        <rFont val="Aptos Narrow"/>
        <family val="2"/>
      </rPr>
      <t>scored from 1 to 10</t>
    </r>
    <r>
      <rPr>
        <sz val="11"/>
        <color rgb="FF000000"/>
        <rFont val="Aptos Narrow"/>
        <family val="2"/>
      </rPr>
      <t xml:space="preserve"> (a higher score mean a lower risk to estuarine health). No assessment was done for some FMUs because:
- there is no estuary or a lack of estuarine characteristics (due to its small size), or 
- there is a very dynamic and high flushing rate that makes the estuaries low susceptible to sediments and nutrients. </t>
    </r>
  </si>
  <si>
    <t>Ground Water Quality</t>
  </si>
  <si>
    <r>
      <rPr>
        <sz val="11"/>
        <color rgb="FF000000"/>
        <rFont val="Aptos Narrow"/>
        <family val="2"/>
        <scheme val="minor"/>
      </rPr>
      <t xml:space="preserve">This is an assessment of the relative levels of risk to ground water quality, caused by leaching of nitrate from different land uses.  The levels of risk by land use by FMU are </t>
    </r>
    <r>
      <rPr>
        <b/>
        <sz val="11"/>
        <color rgb="FF0070C0"/>
        <rFont val="Aptos Narrow"/>
        <family val="2"/>
        <scheme val="minor"/>
      </rPr>
      <t>scored from 1 to 10</t>
    </r>
    <r>
      <rPr>
        <sz val="11"/>
        <rFont val="Aptos Narrow"/>
        <family val="2"/>
        <scheme val="minor"/>
      </rPr>
      <t xml:space="preserve"> (a higher score means a lower risk to ground water quality)</t>
    </r>
    <r>
      <rPr>
        <sz val="11"/>
        <color rgb="FF000000"/>
        <rFont val="Aptos Narrow"/>
        <family val="2"/>
        <scheme val="minor"/>
      </rPr>
      <t xml:space="preserve">.   </t>
    </r>
  </si>
  <si>
    <t>Soil Health</t>
  </si>
  <si>
    <r>
      <t xml:space="preserve">Soil health broadly refers to the condition of the soil and whether the soil has been degraded. In this assessment, the relative levels of risk to soil degradation associated with different land uses are </t>
    </r>
    <r>
      <rPr>
        <b/>
        <sz val="11"/>
        <color rgb="FF0070C0"/>
        <rFont val="Aptos Narrow"/>
        <family val="2"/>
        <scheme val="minor"/>
      </rPr>
      <t xml:space="preserve">scored from 1 to 10 </t>
    </r>
    <r>
      <rPr>
        <sz val="11"/>
        <rFont val="Aptos Narrow"/>
        <family val="2"/>
        <scheme val="minor"/>
      </rPr>
      <t>(a higher score means a lower risk to soil degradation). No FMU variation of the level of risk by each land use is assumed.</t>
    </r>
  </si>
  <si>
    <r>
      <t xml:space="preserve">This is an assessment of species richness, abundance, and distribution, as well as habitat and genetic diversity associated with different land uses. The relative conditions of biodiversity are </t>
    </r>
    <r>
      <rPr>
        <b/>
        <sz val="11"/>
        <color rgb="FF0070C0"/>
        <rFont val="Aptos Narrow"/>
        <family val="2"/>
        <scheme val="minor"/>
      </rPr>
      <t xml:space="preserve">scored from 1 to 10 </t>
    </r>
    <r>
      <rPr>
        <sz val="11"/>
        <rFont val="Aptos Narrow"/>
        <family val="2"/>
        <scheme val="minor"/>
      </rPr>
      <t>(a higher score means a better condition of biodiversity).</t>
    </r>
  </si>
  <si>
    <t>GHG Emissions</t>
  </si>
  <si>
    <t xml:space="preserve">While some land uses (e.g. dairy) result in a net increase in green house gas (GHG) emissions, others result in a net reduction of GHG emissions through carbon sequestration (e.g. forestry). GHG emissions (tCO2-e/ha) for agricultural land uses come from Thomas et al 2024 and Matheson et al 2024. For forest, from MfE's emission factors. And for urban from the Kinesis GHG emissions estimate for Tauranga City (excluding agricultural and forestry emissions). </t>
  </si>
  <si>
    <t>Connection to Nature</t>
  </si>
  <si>
    <r>
      <rPr>
        <sz val="11"/>
        <color rgb="FF000000"/>
        <rFont val="Aptos Narrow"/>
        <family val="2"/>
        <scheme val="minor"/>
      </rPr>
      <t xml:space="preserve">Natural environments (e.g. indigenous forests and native bush, mountains, beaches, coastal waters, rivers, lakes and wetlands) and visits to those natural environments, contribute positively to wellbeing outcomes, especially to increased levels of physical acitivty and improved mental health. This is a </t>
    </r>
    <r>
      <rPr>
        <b/>
        <sz val="11"/>
        <color rgb="FF3C7D22"/>
        <rFont val="Aptos Narrow"/>
        <family val="2"/>
        <scheme val="minor"/>
      </rPr>
      <t>positive</t>
    </r>
    <r>
      <rPr>
        <sz val="11"/>
        <color rgb="FF000000"/>
        <rFont val="Aptos Narrow"/>
        <family val="2"/>
        <scheme val="minor"/>
      </rPr>
      <t xml:space="preserve"> relationship and a higher score means greater access and connection to nature</t>
    </r>
    <r>
      <rPr>
        <sz val="11"/>
        <rFont val="Aptos Narrow"/>
        <family val="2"/>
        <scheme val="minor"/>
      </rPr>
      <t xml:space="preserve"> (WHO, 2016).</t>
    </r>
  </si>
  <si>
    <t>Access to Basic Amenities</t>
  </si>
  <si>
    <r>
      <rPr>
        <sz val="11"/>
        <color rgb="FF000000"/>
        <rFont val="Aptos Narrow"/>
        <family val="2"/>
        <scheme val="minor"/>
      </rPr>
      <t xml:space="preserve">This is a </t>
    </r>
    <r>
      <rPr>
        <b/>
        <sz val="11"/>
        <color rgb="FF3C7D22"/>
        <rFont val="Aptos Narrow"/>
        <family val="2"/>
        <scheme val="minor"/>
      </rPr>
      <t>positive</t>
    </r>
    <r>
      <rPr>
        <sz val="11"/>
        <color rgb="FF000000"/>
        <rFont val="Aptos Narrow"/>
        <family val="2"/>
        <scheme val="minor"/>
      </rPr>
      <t xml:space="preserve"> relationship and a higher score means greater access to amenities. Proximity to key services and facilities, such as parks, community centres, libraries, education and healthcare facilities support daily functioning and social participation (OECD, 2017).</t>
    </r>
  </si>
  <si>
    <t>Housing Affordability</t>
  </si>
  <si>
    <r>
      <rPr>
        <sz val="11"/>
        <color rgb="FF000000"/>
        <rFont val="Aptos Narrow"/>
        <family val="2"/>
        <scheme val="minor"/>
      </rPr>
      <t xml:space="preserve">This is a </t>
    </r>
    <r>
      <rPr>
        <b/>
        <sz val="11"/>
        <color rgb="FF3C7D22"/>
        <rFont val="Aptos Narrow"/>
        <family val="2"/>
        <scheme val="minor"/>
      </rPr>
      <t>positive</t>
    </r>
    <r>
      <rPr>
        <sz val="11"/>
        <color rgb="FF000000"/>
        <rFont val="Aptos Narrow"/>
        <family val="2"/>
        <scheme val="minor"/>
      </rPr>
      <t xml:space="preserve"> relationship and a higher score means more affordable housing. Access to affordable and suitable housing supports a person's overall quality of life. Affordable housing contributes to a sense of security and belonging in a community.</t>
    </r>
    <r>
      <rPr>
        <sz val="11"/>
        <rFont val="Aptos Narrow"/>
        <family val="2"/>
        <scheme val="minor"/>
      </rPr>
      <t xml:space="preserve"> Availability of affordable and suitable housing is a key determinant of stability, security, and wellbeing (Stats NZ, 2019).</t>
    </r>
  </si>
  <si>
    <t>Life Satisfaction (Current)</t>
  </si>
  <si>
    <r>
      <rPr>
        <sz val="11"/>
        <color rgb="FF000000"/>
        <rFont val="Aptos Narrow"/>
        <family val="2"/>
        <scheme val="minor"/>
      </rPr>
      <t xml:space="preserve">People's assessments of their own lives, such as how satisfied they are. This is a </t>
    </r>
    <r>
      <rPr>
        <b/>
        <sz val="11"/>
        <color rgb="FF3C7D22"/>
        <rFont val="Aptos Narrow"/>
        <family val="2"/>
        <scheme val="minor"/>
      </rPr>
      <t>positive</t>
    </r>
    <r>
      <rPr>
        <sz val="11"/>
        <color rgb="FF000000"/>
        <rFont val="Aptos Narrow"/>
        <family val="2"/>
        <scheme val="minor"/>
      </rPr>
      <t xml:space="preserve"> relationship and a higher score means greater life satisfaction</t>
    </r>
    <r>
      <rPr>
        <sz val="11"/>
        <rFont val="Aptos Narrow"/>
        <family val="2"/>
        <scheme val="minor"/>
      </rPr>
      <t>.</t>
    </r>
  </si>
  <si>
    <t>Life Satisfaction (Future)</t>
  </si>
  <si>
    <r>
      <t xml:space="preserve">People's assessments of their own lives, as anticipated for their future. This is a </t>
    </r>
    <r>
      <rPr>
        <b/>
        <sz val="11"/>
        <color theme="9" tint="-0.249977111117893"/>
        <rFont val="Aptos Narrow"/>
        <family val="2"/>
        <scheme val="minor"/>
      </rPr>
      <t>positive</t>
    </r>
    <r>
      <rPr>
        <sz val="11"/>
        <rFont val="Aptos Narrow"/>
        <family val="2"/>
        <scheme val="minor"/>
      </rPr>
      <t xml:space="preserve"> relationship and a higher score means greater life satisfaction.</t>
    </r>
  </si>
  <si>
    <t>Sense of Belonging</t>
  </si>
  <si>
    <r>
      <rPr>
        <sz val="11"/>
        <color rgb="FF000000"/>
        <rFont val="Aptos Narrow"/>
        <family val="2"/>
        <scheme val="minor"/>
      </rPr>
      <t xml:space="preserve">Belonging to community. This is a </t>
    </r>
    <r>
      <rPr>
        <b/>
        <sz val="11"/>
        <color rgb="FF3C7D22"/>
        <rFont val="Aptos Narrow"/>
        <family val="2"/>
        <scheme val="minor"/>
      </rPr>
      <t>positive</t>
    </r>
    <r>
      <rPr>
        <sz val="11"/>
        <color rgb="FF000000"/>
        <rFont val="Aptos Narrow"/>
        <family val="2"/>
        <scheme val="minor"/>
      </rPr>
      <t xml:space="preserve"> relationship and a higher score means greater sense of belonging. Having strong social connections makes people more resilient. By contrast, being socially isolated can increase a person's vulnerability (The Treasury, 2018).</t>
    </r>
  </si>
  <si>
    <r>
      <t>Understanding</t>
    </r>
    <r>
      <rPr>
        <sz val="11"/>
        <color theme="0"/>
        <rFont val="Aptos Narrow"/>
        <family val="2"/>
        <scheme val="minor"/>
      </rPr>
      <t xml:space="preserve"> Wellbeing Score</t>
    </r>
  </si>
  <si>
    <t>Wellbeing score</t>
  </si>
  <si>
    <t>Impacts on wellbeing by land use are given a score between 1 and 10 (a higher score means a better outcome, i.e. lower negative impact for environmental indicators or higher positive impact for social indicators). Each score has no absolute interpretation. Instead, the impact on wellbeing by a given land use can only be understood relative to the impact on wellbeing by another land use. For a given land use, a score for an indicator is incomparable to that for another indicator.</t>
  </si>
  <si>
    <r>
      <t>Understanding</t>
    </r>
    <r>
      <rPr>
        <sz val="11"/>
        <color theme="0"/>
        <rFont val="Aptos Narrow"/>
        <family val="2"/>
        <scheme val="minor"/>
      </rPr>
      <t xml:space="preserve"> </t>
    </r>
    <r>
      <rPr>
        <i/>
        <sz val="11"/>
        <color theme="0"/>
        <rFont val="Aptos Narrow"/>
        <family val="2"/>
        <scheme val="minor"/>
      </rPr>
      <t>Land Use</t>
    </r>
  </si>
  <si>
    <t>Land use describes the different ways that people use the land (e.g. dairy farming, forestry, etc.)</t>
  </si>
  <si>
    <t>Bibliography</t>
  </si>
  <si>
    <r>
      <t xml:space="preserve">Beef + Lamb NZ (2025). </t>
    </r>
    <r>
      <rPr>
        <i/>
        <u/>
        <sz val="11"/>
        <color theme="10"/>
        <rFont val="Aptos Narrow"/>
        <family val="2"/>
        <scheme val="minor"/>
      </rPr>
      <t>Sheep and Beef Farm Survey Data</t>
    </r>
  </si>
  <si>
    <t>Bermeo, S. (2022 (unpublished)). Internal memorandum (A4003846): Exploratory scenarios for the Water Quality &amp; Ecosystem Health Expert Panel.</t>
  </si>
  <si>
    <r>
      <t xml:space="preserve">Brazendale, R., &amp; Schroder, B. (2023). </t>
    </r>
    <r>
      <rPr>
        <i/>
        <sz val="11"/>
        <color theme="1"/>
        <rFont val="Calibri"/>
        <family val="2"/>
      </rPr>
      <t>Financial performance of key land uses and land use conversions. Methodology, assumpations, and results.</t>
    </r>
    <r>
      <rPr>
        <sz val="11"/>
        <color theme="1"/>
        <rFont val="Calibri"/>
        <family val="2"/>
      </rPr>
      <t xml:space="preserve"> Tauranga: Perrin Ag Consultants Ltd.</t>
    </r>
  </si>
  <si>
    <t>Carter, R., J. Crawshaw, Dare, J., Fox, E., Park, S. Scholes, P., Shailer, J., Suren, A., 2024. Nutrient, sediment and E. coli load reductions to meet desired Target Attribute State outcomes within Freshwater Management Units in the Bay of Plenty. Bay of Plenty Regional Council Environmental Publication 2025/01. Bay of Plenty Regional Council, Whakatane, New Zealand</t>
  </si>
  <si>
    <t>Carter, R., McBride C., Norton, N., Clapcott, J., Franklin, P., Scholes, P., Suren, A., Donald, R.
(2023). Expert Panel estimates of river health under Current State, Natural Land Cover
and hypothetical future land cover scenarios. Bay of Plenty Regional Council
Environmental Publication 2023/05. Bay of Plenty Regional Council, Whakatane,
New Zealand. 36p.</t>
  </si>
  <si>
    <r>
      <t xml:space="preserve">Chhun, S., Bermeo, S, &amp; Efford J. (2025). </t>
    </r>
    <r>
      <rPr>
        <i/>
        <u/>
        <sz val="11"/>
        <color theme="10"/>
        <rFont val="Aptos Narrow"/>
        <family val="2"/>
        <scheme val="minor"/>
      </rPr>
      <t>On-farm tree planting financial calculator.</t>
    </r>
    <r>
      <rPr>
        <u/>
        <sz val="11"/>
        <color theme="10"/>
        <rFont val="Aptos Narrow"/>
        <family val="2"/>
        <scheme val="minor"/>
      </rPr>
      <t xml:space="preserve"> Bay of Plenty Regional Council.</t>
    </r>
  </si>
  <si>
    <r>
      <t xml:space="preserve">Dairy NZ (2025). </t>
    </r>
    <r>
      <rPr>
        <i/>
        <u/>
        <sz val="11"/>
        <color theme="10"/>
        <rFont val="Aptos Narrow"/>
        <family val="2"/>
        <scheme val="minor"/>
      </rPr>
      <t>Economic Survey Data</t>
    </r>
  </si>
  <si>
    <t>Department of Conservation. (2015). The contribution of natural environments to our health and wellbeing. Retrieved November 26, 2025, from https://www.doc.govt.nz/about-us/science-publications/conservation-publications/conservation-and-human-values/contribution-of-natural-environments-to-our-health-and-wellbeing/</t>
  </si>
  <si>
    <r>
      <t xml:space="preserve">Donovan, M. (2022). Modelling soil loss from surface erosion at high-resolution to better understand sources and drivers across land uses and catchments; a national-scale assessment of Aotearoa, New Zealand. </t>
    </r>
    <r>
      <rPr>
        <i/>
        <sz val="11"/>
        <color theme="1"/>
        <rFont val="Calibri"/>
        <family val="2"/>
      </rPr>
      <t>Environmental Modelling &amp; Sofware, 147</t>
    </r>
    <r>
      <rPr>
        <sz val="11"/>
        <color theme="1"/>
        <rFont val="Calibri"/>
        <family val="2"/>
      </rPr>
      <t>. doi:https://doi.org/10.1016/j.envsoft.2021.105228</t>
    </r>
  </si>
  <si>
    <t>Health New Zealand | Te Whatu Ora. (2024, September 4). Urban development – Built environment. Retrieved November 26, 2025, from https://www.tewhatuora.govt.nz/health-services-and-programmes/environmental-health/built-environment/urban-development</t>
  </si>
  <si>
    <r>
      <t xml:space="preserve">LWP (2024). </t>
    </r>
    <r>
      <rPr>
        <i/>
        <u/>
        <sz val="11"/>
        <color theme="10"/>
        <rFont val="Aptos Narrow"/>
        <family val="2"/>
        <scheme val="minor"/>
      </rPr>
      <t>Avocado - Indicators and other information</t>
    </r>
  </si>
  <si>
    <t>Matheson, L; Djanibekov, U; Bird, B; Greenhalgh, S. 2018. Economic and contaminant loss impacts on farm and orchard systems of mitigation bundles to address sediment and other freshwater contaminants in the Rangitāiki and Kaituna-Pongakawa-Waitahanui water management areas. Final report, forming delivery for Milestone 2A, 2B, 2C &amp; 2D. Version 1.3. 109 pages.</t>
  </si>
  <si>
    <t>New Zealand Treasury. (n.d.). Our Living Standards Framework. Retrieved November 26, 2025, from https://www.treasury.govt.nz/information-and-services/nz-economy/higher-living-standards/our-living-standards-framework</t>
  </si>
  <si>
    <t xml:space="preserve">Park, S. (2018 unpublished). Internal memorandum (A2908752): Preliminary investigation of ecological sensitivity of Waitahanui, Kaituna and Rangitaiki (Thornton) estuaries. </t>
  </si>
  <si>
    <t>Park, S. (2020 unpublished). Internal memorandum (A3604459): Assessment of Ohiwa Harbour eutrophication susceptibility and ecologial state.</t>
  </si>
  <si>
    <t>Park, S. (2021 unpublished). Internal memorandum (A3785165): Sensitivity of Eastern Bay of Plenty estuaries to freshwater inflows and current ecological health.</t>
  </si>
  <si>
    <t>Statistics New Zealand. (n.d.). Economic wellbeing indicators. Indicators Aotearoa New Zealand. Retrieved November 26, 2025, from https://statisticsnz.shinyapps.io/wellbeingindicators/_w_36152690262a49d990e9aaa8add5b408/?page=indicators&amp;class=Economic</t>
  </si>
  <si>
    <t>Statistics New Zealand. (n.d.). Hope for the future [Interactive data visualization]. Indicators Aotearoa New Zealand: Wellbeing indicators. Retrieved November 26, 2025, from https://statisticsnz.shinyapps.io/wellbeingindicators/_w_36152690262a49d990e9aaa8add5b408/?page=indicators&amp;class=Social&amp;type=Subjective%20wellbeing&amp;indicator=Hope%20for%20the%20future</t>
  </si>
  <si>
    <t>Stats NZ. (2025). Social connections – Wellbeing indicators. Retrieved November 26, 2025, from https://statisticsnz.shinyapps.io/wellbeingindicators/_w_36152690262a49d990e9aaa8add5b408/?page=indicators&amp;class=Social&amp;type=Social%20connections</t>
  </si>
  <si>
    <t>Stats NZ. (2025, August 11). Life satisfaction. Wellbeing indicators. Retrieved November 26, 2025, from https://statisticsnz.shinyapps.io/wellbeingindicators/_w_36152690262a49d990e9aaa8add5b408/?page=indicators&amp;class=Social&amp;type=Subjective%20wellbeing&amp;indicator=Life%20satisfaction</t>
  </si>
  <si>
    <t>Stats NZ. (2025, June 17). The current state of housing in Aotearoa New Zealand. https://www.stats.govt.nz/news/the-current-state-of-housing-in-aotearoa-new-zealand/</t>
  </si>
  <si>
    <r>
      <t xml:space="preserve">StatsNZ (2025). </t>
    </r>
    <r>
      <rPr>
        <i/>
        <u/>
        <sz val="11"/>
        <color theme="10"/>
        <rFont val="Aptos Narrow"/>
        <family val="2"/>
        <scheme val="minor"/>
      </rPr>
      <t>Business price indexes</t>
    </r>
  </si>
  <si>
    <t>Vale, S., Smith, H., Neverman, A., Herzig, A. (2021). Application of SedNetNZ with erosion
mitigation and climate change scenarios and temporal disaggregation in the Bay of Plenty
Region Manaaki Whenua – Landcare Research Contract Report: LC4002.</t>
  </si>
  <si>
    <t>Vale, S., Smith, H., Neverman. (2023). Memorandum: Achievement of NPS FM 2020 suspended
sediment attribute bands for the Bay of Plenty region. Manaaki Whenua Landcare
Research Memorandum, Dec 2023.</t>
  </si>
  <si>
    <t>Williamson Water and Land Advisory (WWLA) (2017).Kaituna &amp; Rangitāiki Catchment Models.
Report WWA0033, Prepared for Bay of Plenty Regional Council.</t>
  </si>
  <si>
    <r>
      <t xml:space="preserve">Zespri (2025). </t>
    </r>
    <r>
      <rPr>
        <i/>
        <u/>
        <sz val="11"/>
        <color theme="10"/>
        <rFont val="Aptos Narrow"/>
        <family val="2"/>
        <scheme val="minor"/>
      </rPr>
      <t>Kiwiflier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</si>
</sst>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4" formatCode="_-&quot;$&quot;* #,##0.00_-;\-&quot;$&quot;* #,##0.00_-;_-&quot;$&quot;* &quot;-&quot;??_-;_-@_-"/>
    <numFmt numFmtId="43" formatCode="_-* #,##0.00_-;\-* #,##0.00_-;_-* &quot;-&quot;??_-;_-@_-"/>
    <numFmt numFmtId="164" formatCode="_(* #,##0_);_(* \(#,##0\);_(* &quot;-&quot;??_);_(@_)"/>
    <numFmt numFmtId="165" formatCode="_-* #,##0_-;\-* #,##0_-;_-* &quot;-&quot;??_-;_-@_-"/>
    <numFmt numFmtId="166" formatCode="_-* #,##0.000_-;\-* #,##0.000_-;_-* &quot;-&quot;??_-;_-@_-"/>
    <numFmt numFmtId="167" formatCode="_-* #,##0.0000_-;\-* #,##0.0000_-;_-* &quot;-&quot;??_-;_-@_-"/>
    <numFmt numFmtId="168" formatCode="\+&quot;$&quot;###,###&quot;M&quot;;\-&quot;$&quot;###,###&quot;M&quot;"/>
    <numFmt numFmtId="169" formatCode="\+0;\-0"/>
    <numFmt numFmtId="170" formatCode="_-&quot;$&quot;* #,##0_-;\-&quot;$&quot;* #,##0_-;_-&quot;$&quot;* &quot;-&quot;??_-;_-@_-"/>
    <numFmt numFmtId="171" formatCode="0\ &quot;MEC&quot;"/>
    <numFmt numFmtId="172" formatCode="\+###,###\ &quot;FTE&quot;;\-###,###\ &quot;tCO2-e&quot;"/>
    <numFmt numFmtId="173" formatCode="\+###,###\ &quot;kg&quot;;\-###,###\ &quot;kg&quot;"/>
    <numFmt numFmtId="174" formatCode="\+###,###\ &quot;t&quot;;\-###,###\ &quot;t&quot;"/>
    <numFmt numFmtId="175" formatCode="_-* #,##0.0_-;\-* #,##0.0_-;_-* &quot;-&quot;??_-;_-@_-"/>
    <numFmt numFmtId="176" formatCode="0\ &quot;tCO2-e&quot;"/>
    <numFmt numFmtId="177" formatCode="0\ &quot;kg&quot;"/>
    <numFmt numFmtId="178" formatCode="0.0\ &quot;MEC&quot;"/>
  </numFmts>
  <fonts count="50">
    <font>
      <sz val="11"/>
      <color theme="1"/>
      <name val="Aptos Narrow"/>
      <family val="2"/>
      <scheme val="minor"/>
    </font>
    <font>
      <sz val="11"/>
      <color theme="1"/>
      <name val="Aptos Narrow"/>
      <family val="2"/>
      <scheme val="minor"/>
    </font>
    <font>
      <b/>
      <sz val="11"/>
      <color theme="1"/>
      <name val="Aptos Narrow"/>
      <family val="2"/>
      <scheme val="minor"/>
    </font>
    <font>
      <b/>
      <sz val="14"/>
      <color theme="1"/>
      <name val="Aptos Narrow"/>
      <family val="2"/>
      <scheme val="minor"/>
    </font>
    <font>
      <sz val="11"/>
      <name val="Aptos Narrow"/>
      <family val="2"/>
      <scheme val="minor"/>
    </font>
    <font>
      <b/>
      <sz val="16"/>
      <color theme="1"/>
      <name val="Aptos Narrow"/>
      <family val="2"/>
      <scheme val="minor"/>
    </font>
    <font>
      <sz val="11"/>
      <color rgb="FFFF0000"/>
      <name val="Aptos Narrow"/>
      <family val="2"/>
      <scheme val="minor"/>
    </font>
    <font>
      <sz val="11"/>
      <color theme="0" tint="-0.14999847407452621"/>
      <name val="Aptos Narrow"/>
      <family val="2"/>
      <scheme val="minor"/>
    </font>
    <font>
      <b/>
      <sz val="11"/>
      <color theme="1"/>
      <name val="Aptos Narrow"/>
      <family val="2"/>
    </font>
    <font>
      <sz val="11"/>
      <color theme="5" tint="-0.249977111117893"/>
      <name val="Aptos Narrow"/>
      <family val="2"/>
      <scheme val="minor"/>
    </font>
    <font>
      <b/>
      <sz val="11"/>
      <color theme="0"/>
      <name val="Aptos Narrow"/>
      <family val="2"/>
      <scheme val="minor"/>
    </font>
    <font>
      <sz val="11"/>
      <color theme="0"/>
      <name val="Aptos Narrow"/>
      <family val="2"/>
      <scheme val="minor"/>
    </font>
    <font>
      <sz val="11"/>
      <color theme="5"/>
      <name val="Aptos Narrow"/>
      <family val="2"/>
      <scheme val="minor"/>
    </font>
    <font>
      <u/>
      <sz val="11"/>
      <color theme="10"/>
      <name val="Aptos Narrow"/>
      <family val="2"/>
      <scheme val="minor"/>
    </font>
    <font>
      <b/>
      <sz val="11"/>
      <color theme="9" tint="-0.249977111117893"/>
      <name val="Aptos Narrow"/>
      <family val="2"/>
      <scheme val="minor"/>
    </font>
    <font>
      <i/>
      <sz val="11"/>
      <color theme="0"/>
      <name val="Aptos Narrow"/>
      <family val="2"/>
      <scheme val="minor"/>
    </font>
    <font>
      <b/>
      <sz val="11"/>
      <name val="Aptos Narrow"/>
      <family val="2"/>
      <scheme val="minor"/>
    </font>
    <font>
      <b/>
      <sz val="20"/>
      <color theme="1"/>
      <name val="Aptos Narrow"/>
      <family val="2"/>
      <scheme val="minor"/>
    </font>
    <font>
      <b/>
      <sz val="14"/>
      <color theme="0"/>
      <name val="Aptos Narrow"/>
      <family val="2"/>
      <scheme val="minor"/>
    </font>
    <font>
      <sz val="11"/>
      <color theme="1"/>
      <name val="Aptos Narrow"/>
      <family val="2"/>
    </font>
    <font>
      <b/>
      <sz val="14"/>
      <color theme="2"/>
      <name val="Aptos Narrow"/>
      <family val="2"/>
      <scheme val="minor"/>
    </font>
    <font>
      <b/>
      <sz val="12"/>
      <color theme="2"/>
      <name val="Aptos Narrow"/>
      <family val="2"/>
      <scheme val="minor"/>
    </font>
    <font>
      <sz val="11"/>
      <color theme="2"/>
      <name val="Aptos Narrow"/>
      <family val="2"/>
      <scheme val="minor"/>
    </font>
    <font>
      <b/>
      <sz val="11"/>
      <color theme="2"/>
      <name val="Aptos Narrow"/>
      <family val="2"/>
      <scheme val="minor"/>
    </font>
    <font>
      <sz val="11"/>
      <color theme="4" tint="0.79998168889431442"/>
      <name val="Aptos Narrow"/>
      <family val="2"/>
      <scheme val="minor"/>
    </font>
    <font>
      <i/>
      <sz val="11"/>
      <color theme="1"/>
      <name val="Aptos Narrow"/>
      <family val="2"/>
      <scheme val="minor"/>
    </font>
    <font>
      <b/>
      <sz val="14"/>
      <color theme="1" tint="0.34998626667073579"/>
      <name val="Aptos Narrow"/>
      <family val="2"/>
      <scheme val="minor"/>
    </font>
    <font>
      <b/>
      <sz val="12"/>
      <color theme="1"/>
      <name val="Aptos Narrow"/>
      <family val="2"/>
      <scheme val="minor"/>
    </font>
    <font>
      <b/>
      <sz val="11"/>
      <color rgb="FFFF0000"/>
      <name val="Aptos Narrow"/>
      <family val="2"/>
      <scheme val="minor"/>
    </font>
    <font>
      <b/>
      <sz val="11"/>
      <color theme="5" tint="-0.249977111117893"/>
      <name val="Aptos Narrow"/>
      <family val="2"/>
      <scheme val="minor"/>
    </font>
    <font>
      <b/>
      <sz val="11"/>
      <color rgb="FF0070C0"/>
      <name val="Aptos Narrow"/>
      <family val="2"/>
      <scheme val="minor"/>
    </font>
    <font>
      <u/>
      <sz val="11"/>
      <name val="Aptos Narrow"/>
      <family val="2"/>
      <scheme val="minor"/>
    </font>
    <font>
      <sz val="11"/>
      <color rgb="FF000000"/>
      <name val="Aptos Narrow"/>
      <family val="2"/>
    </font>
    <font>
      <b/>
      <sz val="11"/>
      <color rgb="FF0070C0"/>
      <name val="Aptos Narrow"/>
      <family val="2"/>
    </font>
    <font>
      <sz val="11"/>
      <name val="Aptos Narrow"/>
      <family val="2"/>
    </font>
    <font>
      <b/>
      <sz val="20"/>
      <color theme="0"/>
      <name val="Aptos Narrow"/>
      <family val="2"/>
      <scheme val="minor"/>
    </font>
    <font>
      <b/>
      <sz val="16"/>
      <name val="Aptos Narrow"/>
      <family val="2"/>
      <scheme val="minor"/>
    </font>
    <font>
      <sz val="11"/>
      <color rgb="FF000000"/>
      <name val="Aptos Narrow"/>
      <family val="2"/>
      <scheme val="minor"/>
    </font>
    <font>
      <b/>
      <sz val="14"/>
      <color rgb="FFFF0000"/>
      <name val="Aptos Narrow"/>
      <family val="2"/>
      <scheme val="minor"/>
    </font>
    <font>
      <b/>
      <i/>
      <sz val="18"/>
      <color theme="1"/>
      <name val="Aptos Narrow"/>
      <family val="2"/>
      <scheme val="minor"/>
    </font>
    <font>
      <b/>
      <u/>
      <sz val="11"/>
      <name val="Aptos Narrow"/>
      <family val="2"/>
      <scheme val="minor"/>
    </font>
    <font>
      <b/>
      <sz val="11"/>
      <color rgb="FF3C7D22"/>
      <name val="Aptos Narrow"/>
      <family val="2"/>
      <scheme val="minor"/>
    </font>
    <font>
      <b/>
      <sz val="14"/>
      <color theme="4"/>
      <name val="Aptos Narrow"/>
      <family val="2"/>
      <scheme val="minor"/>
    </font>
    <font>
      <sz val="11"/>
      <color theme="1"/>
      <name val="Calibri"/>
      <family val="2"/>
    </font>
    <font>
      <i/>
      <sz val="11"/>
      <color theme="1"/>
      <name val="Calibri"/>
      <family val="2"/>
    </font>
    <font>
      <b/>
      <sz val="11"/>
      <color theme="0" tint="-4.9989318521683403E-2"/>
      <name val="Aptos Narrow"/>
      <family val="2"/>
      <scheme val="minor"/>
    </font>
    <font>
      <sz val="11"/>
      <color theme="1"/>
      <name val="Symbol"/>
      <family val="1"/>
      <charset val="2"/>
    </font>
    <font>
      <i/>
      <u/>
      <sz val="11"/>
      <color theme="10"/>
      <name val="Aptos Narrow"/>
      <family val="2"/>
      <scheme val="minor"/>
    </font>
    <font>
      <b/>
      <sz val="8"/>
      <color theme="1"/>
      <name val="Aptos Narrow"/>
      <family val="2"/>
      <scheme val="minor"/>
    </font>
    <font>
      <sz val="8"/>
      <color theme="1"/>
      <name val="Aptos Narrow"/>
      <family val="2"/>
      <scheme val="minor"/>
    </font>
  </fonts>
  <fills count="26">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bgColor indexed="64"/>
      </patternFill>
    </fill>
    <fill>
      <patternFill patternType="solid">
        <fgColor theme="3" tint="0.89999084444715716"/>
        <bgColor indexed="64"/>
      </patternFill>
    </fill>
    <fill>
      <patternFill patternType="solid">
        <fgColor theme="0"/>
        <bgColor indexed="64"/>
      </patternFill>
    </fill>
    <fill>
      <patternFill patternType="solid">
        <fgColor theme="9" tint="0.39997558519241921"/>
        <bgColor indexed="64"/>
      </patternFill>
    </fill>
    <fill>
      <patternFill patternType="solid">
        <fgColor rgb="FFFFC000"/>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7"/>
        <bgColor indexed="64"/>
      </patternFill>
    </fill>
    <fill>
      <patternFill patternType="solid">
        <fgColor theme="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92D050"/>
        <bgColor indexed="64"/>
      </patternFill>
    </fill>
    <fill>
      <patternFill patternType="solid">
        <fgColor theme="8"/>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rgb="FFFF0000"/>
        <bgColor indexed="64"/>
      </patternFill>
    </fill>
    <fill>
      <patternFill patternType="solid">
        <fgColor rgb="FFEFF9EB"/>
        <bgColor indexed="64"/>
      </patternFill>
    </fill>
    <fill>
      <patternFill patternType="solid">
        <fgColor theme="5" tint="0.39997558519241921"/>
        <bgColor indexed="64"/>
      </patternFill>
    </fill>
    <fill>
      <patternFill patternType="solid">
        <fgColor rgb="FFFFFF00"/>
        <bgColor rgb="FF000000"/>
      </patternFill>
    </fill>
  </fills>
  <borders count="28">
    <border>
      <left/>
      <right/>
      <top/>
      <bottom/>
      <diagonal/>
    </border>
    <border>
      <left/>
      <right/>
      <top/>
      <bottom style="thin">
        <color indexed="64"/>
      </bottom>
      <diagonal/>
    </border>
    <border>
      <left/>
      <right/>
      <top style="thin">
        <color auto="1"/>
      </top>
      <bottom/>
      <diagonal/>
    </border>
    <border>
      <left/>
      <right/>
      <top/>
      <bottom style="thin">
        <color theme="2"/>
      </bottom>
      <diagonal/>
    </border>
    <border>
      <left/>
      <right/>
      <top style="thin">
        <color theme="2"/>
      </top>
      <bottom style="thin">
        <color theme="2"/>
      </bottom>
      <diagonal/>
    </border>
    <border>
      <left/>
      <right/>
      <top style="thin">
        <color theme="2"/>
      </top>
      <bottom style="thin">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style="thin">
        <color theme="0"/>
      </top>
      <bottom/>
      <diagonal/>
    </border>
    <border>
      <left/>
      <right/>
      <top style="thin">
        <color auto="1"/>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auto="1"/>
      </top>
      <bottom/>
      <diagonal/>
    </border>
    <border>
      <left/>
      <right/>
      <top/>
      <bottom style="medium">
        <color auto="1"/>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13" fillId="0" borderId="0" applyNumberFormat="0" applyFill="0" applyBorder="0" applyAlignment="0" applyProtection="0"/>
    <xf numFmtId="44" fontId="1" fillId="0" borderId="0" applyFont="0" applyFill="0" applyBorder="0" applyAlignment="0" applyProtection="0"/>
  </cellStyleXfs>
  <cellXfs count="388">
    <xf numFmtId="0" fontId="0" fillId="0" borderId="0" xfId="0"/>
    <xf numFmtId="0" fontId="3" fillId="0" borderId="0" xfId="0" applyFont="1"/>
    <xf numFmtId="3" fontId="0" fillId="0" borderId="0" xfId="0" applyNumberFormat="1"/>
    <xf numFmtId="164" fontId="4" fillId="0" borderId="0" xfId="1" applyNumberFormat="1" applyFont="1"/>
    <xf numFmtId="0" fontId="2" fillId="2" borderId="0" xfId="0" applyFont="1" applyFill="1"/>
    <xf numFmtId="164" fontId="4" fillId="0" borderId="2" xfId="1" applyNumberFormat="1" applyFont="1" applyBorder="1"/>
    <xf numFmtId="164" fontId="4" fillId="0" borderId="0" xfId="1" applyNumberFormat="1" applyFont="1" applyBorder="1"/>
    <xf numFmtId="164" fontId="4" fillId="0" borderId="1" xfId="1" applyNumberFormat="1" applyFont="1" applyBorder="1"/>
    <xf numFmtId="164" fontId="0" fillId="0" borderId="2" xfId="1" applyNumberFormat="1" applyFont="1" applyFill="1" applyBorder="1"/>
    <xf numFmtId="164" fontId="0" fillId="0" borderId="0" xfId="1" applyNumberFormat="1" applyFont="1" applyFill="1" applyBorder="1"/>
    <xf numFmtId="164" fontId="0" fillId="0" borderId="1" xfId="1" applyNumberFormat="1" applyFont="1" applyFill="1" applyBorder="1"/>
    <xf numFmtId="0" fontId="0" fillId="0" borderId="0" xfId="0" applyAlignment="1">
      <alignment horizontal="left"/>
    </xf>
    <xf numFmtId="165" fontId="0" fillId="0" borderId="0" xfId="1" applyNumberFormat="1" applyFont="1"/>
    <xf numFmtId="0" fontId="0" fillId="7" borderId="0" xfId="0" applyFill="1"/>
    <xf numFmtId="0" fontId="6" fillId="0" borderId="0" xfId="0" applyFont="1"/>
    <xf numFmtId="0" fontId="0" fillId="0" borderId="0" xfId="0" applyAlignment="1">
      <alignment textRotation="90"/>
    </xf>
    <xf numFmtId="0" fontId="0" fillId="0" borderId="0" xfId="0" applyAlignment="1">
      <alignment textRotation="90" wrapText="1"/>
    </xf>
    <xf numFmtId="0" fontId="2" fillId="0" borderId="0" xfId="0" applyFont="1"/>
    <xf numFmtId="0" fontId="2" fillId="0" borderId="0" xfId="0" applyFont="1" applyAlignment="1">
      <alignment wrapText="1"/>
    </xf>
    <xf numFmtId="0" fontId="9" fillId="0" borderId="0" xfId="0" applyFont="1"/>
    <xf numFmtId="0" fontId="9" fillId="0" borderId="0" xfId="0" applyFont="1" applyAlignment="1">
      <alignment textRotation="90" wrapText="1"/>
    </xf>
    <xf numFmtId="43" fontId="3" fillId="0" borderId="0" xfId="1" applyFont="1" applyFill="1" applyAlignment="1">
      <alignment horizontal="left"/>
    </xf>
    <xf numFmtId="165" fontId="0" fillId="0" borderId="0" xfId="1" applyNumberFormat="1" applyFont="1" applyFill="1"/>
    <xf numFmtId="0" fontId="4" fillId="0" borderId="0" xfId="0" applyFont="1"/>
    <xf numFmtId="0" fontId="2" fillId="2" borderId="0" xfId="0" applyFont="1" applyFill="1" applyAlignment="1">
      <alignment textRotation="90"/>
    </xf>
    <xf numFmtId="165" fontId="2" fillId="10" borderId="0" xfId="0" applyNumberFormat="1" applyFont="1" applyFill="1"/>
    <xf numFmtId="165" fontId="2" fillId="8" borderId="0" xfId="0" applyNumberFormat="1" applyFont="1" applyFill="1"/>
    <xf numFmtId="165" fontId="2" fillId="9" borderId="0" xfId="0" applyNumberFormat="1" applyFont="1" applyFill="1"/>
    <xf numFmtId="0" fontId="12" fillId="0" borderId="0" xfId="0" applyFont="1"/>
    <xf numFmtId="164" fontId="12" fillId="0" borderId="0" xfId="1" applyNumberFormat="1" applyFont="1" applyFill="1" applyProtection="1">
      <protection locked="0"/>
    </xf>
    <xf numFmtId="0" fontId="0" fillId="2" borderId="2" xfId="0" applyFill="1" applyBorder="1"/>
    <xf numFmtId="0" fontId="0" fillId="2" borderId="0" xfId="0" applyFill="1"/>
    <xf numFmtId="0" fontId="0" fillId="2" borderId="1" xfId="0" applyFill="1" applyBorder="1"/>
    <xf numFmtId="0" fontId="12" fillId="2" borderId="0" xfId="0" applyFont="1" applyFill="1" applyProtection="1">
      <protection locked="0"/>
    </xf>
    <xf numFmtId="0" fontId="2" fillId="6" borderId="0" xfId="0" applyFont="1" applyFill="1" applyAlignment="1">
      <alignment textRotation="90" wrapText="1"/>
    </xf>
    <xf numFmtId="0" fontId="2" fillId="6" borderId="0" xfId="0" applyFont="1" applyFill="1" applyAlignment="1" applyProtection="1">
      <alignment horizontal="right"/>
      <protection locked="0"/>
    </xf>
    <xf numFmtId="3" fontId="2" fillId="6" borderId="0" xfId="0" applyNumberFormat="1" applyFont="1" applyFill="1"/>
    <xf numFmtId="0" fontId="0" fillId="0" borderId="0" xfId="0" applyAlignment="1">
      <alignment horizontal="center" vertical="center"/>
    </xf>
    <xf numFmtId="0" fontId="10" fillId="11" borderId="1" xfId="0" applyFont="1" applyFill="1" applyBorder="1" applyAlignment="1">
      <alignment horizontal="center"/>
    </xf>
    <xf numFmtId="0" fontId="10" fillId="11" borderId="0" xfId="0" applyFont="1" applyFill="1" applyAlignment="1">
      <alignment horizontal="center" vertical="center"/>
    </xf>
    <xf numFmtId="0" fontId="10" fillId="11" borderId="1" xfId="0" applyFont="1" applyFill="1" applyBorder="1" applyAlignment="1">
      <alignment horizontal="center" vertical="center"/>
    </xf>
    <xf numFmtId="0" fontId="13" fillId="0" borderId="3" xfId="3" applyFill="1" applyBorder="1" applyAlignment="1">
      <alignment horizontal="center" vertical="center"/>
    </xf>
    <xf numFmtId="0" fontId="13" fillId="0" borderId="4" xfId="3" applyFill="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13" fillId="0" borderId="5" xfId="3" applyBorder="1" applyAlignment="1">
      <alignment horizontal="center" vertical="center"/>
    </xf>
    <xf numFmtId="0" fontId="13" fillId="0" borderId="5" xfId="3" applyFill="1" applyBorder="1" applyAlignment="1">
      <alignment horizontal="center" vertical="center"/>
    </xf>
    <xf numFmtId="0" fontId="13" fillId="0" borderId="6" xfId="3" applyBorder="1" applyAlignment="1">
      <alignment horizontal="center" vertical="center"/>
    </xf>
    <xf numFmtId="0" fontId="0" fillId="0" borderId="6" xfId="0" applyBorder="1" applyAlignment="1">
      <alignment horizontal="center" vertical="center"/>
    </xf>
    <xf numFmtId="0" fontId="4" fillId="0" borderId="0" xfId="0" applyFont="1" applyAlignment="1">
      <alignment vertical="center" wrapText="1"/>
    </xf>
    <xf numFmtId="165" fontId="0" fillId="0" borderId="0" xfId="1" applyNumberFormat="1" applyFont="1" applyFill="1" applyProtection="1"/>
    <xf numFmtId="165" fontId="6" fillId="0" borderId="0" xfId="1" applyNumberFormat="1" applyFont="1" applyFill="1" applyProtection="1"/>
    <xf numFmtId="167" fontId="0" fillId="0" borderId="0" xfId="1" applyNumberFormat="1" applyFont="1" applyFill="1" applyProtection="1"/>
    <xf numFmtId="0" fontId="0" fillId="2" borderId="0" xfId="0" applyFill="1" applyAlignment="1">
      <alignment textRotation="90" wrapText="1"/>
    </xf>
    <xf numFmtId="0" fontId="9" fillId="2" borderId="0" xfId="0" applyFont="1" applyFill="1" applyAlignment="1">
      <alignment textRotation="90" wrapText="1"/>
    </xf>
    <xf numFmtId="165" fontId="0" fillId="0" borderId="0" xfId="0" applyNumberFormat="1"/>
    <xf numFmtId="165" fontId="4" fillId="0" borderId="0" xfId="1" applyNumberFormat="1" applyFont="1" applyFill="1" applyProtection="1"/>
    <xf numFmtId="165" fontId="16" fillId="9" borderId="0" xfId="0" applyNumberFormat="1" applyFont="1" applyFill="1"/>
    <xf numFmtId="165" fontId="4" fillId="0" borderId="0" xfId="1" applyNumberFormat="1" applyFont="1" applyFill="1"/>
    <xf numFmtId="0" fontId="17" fillId="0" borderId="0" xfId="0" applyFont="1"/>
    <xf numFmtId="0" fontId="0" fillId="0" borderId="0" xfId="1" quotePrefix="1" applyNumberFormat="1" applyFont="1" applyFill="1" applyAlignment="1" applyProtection="1"/>
    <xf numFmtId="43" fontId="17" fillId="0" borderId="0" xfId="1" applyFont="1" applyFill="1" applyAlignment="1">
      <alignment horizontal="left"/>
    </xf>
    <xf numFmtId="0" fontId="0" fillId="0" borderId="0" xfId="1" quotePrefix="1" applyNumberFormat="1" applyFont="1" applyFill="1" applyAlignment="1" applyProtection="1">
      <alignment horizontal="left" vertical="top" wrapText="1"/>
    </xf>
    <xf numFmtId="0" fontId="11" fillId="11" borderId="0" xfId="0" applyFont="1" applyFill="1"/>
    <xf numFmtId="0" fontId="20" fillId="11" borderId="0" xfId="0" applyFont="1" applyFill="1"/>
    <xf numFmtId="0" fontId="21" fillId="11" borderId="0" xfId="0" applyFont="1" applyFill="1"/>
    <xf numFmtId="0" fontId="22" fillId="11" borderId="0" xfId="0" applyFont="1" applyFill="1"/>
    <xf numFmtId="0" fontId="23" fillId="11" borderId="0" xfId="0" applyFont="1" applyFill="1"/>
    <xf numFmtId="0" fontId="0" fillId="15" borderId="0" xfId="0" applyFill="1"/>
    <xf numFmtId="0" fontId="0" fillId="16" borderId="0" xfId="0" applyFill="1"/>
    <xf numFmtId="0" fontId="0" fillId="17" borderId="0" xfId="0" applyFill="1"/>
    <xf numFmtId="0" fontId="0" fillId="0" borderId="0" xfId="0" applyAlignment="1">
      <alignment wrapText="1"/>
    </xf>
    <xf numFmtId="0" fontId="24" fillId="16" borderId="0" xfId="0" applyFont="1" applyFill="1"/>
    <xf numFmtId="169" fontId="0" fillId="15" borderId="0" xfId="0" applyNumberFormat="1" applyFill="1"/>
    <xf numFmtId="0" fontId="0" fillId="16" borderId="0" xfId="0" applyFill="1" applyAlignment="1">
      <alignment horizontal="center" vertical="center"/>
    </xf>
    <xf numFmtId="0" fontId="16" fillId="0" borderId="0" xfId="0" applyFont="1" applyAlignment="1">
      <alignment horizontal="center" vertical="center"/>
    </xf>
    <xf numFmtId="0" fontId="10" fillId="11" borderId="1" xfId="0" applyFont="1" applyFill="1" applyBorder="1" applyAlignment="1">
      <alignment horizontal="left" vertical="top"/>
    </xf>
    <xf numFmtId="0" fontId="10" fillId="11" borderId="0" xfId="0" applyFont="1" applyFill="1" applyAlignment="1">
      <alignment horizontal="left" vertical="top"/>
    </xf>
    <xf numFmtId="0" fontId="0" fillId="0" borderId="0" xfId="0" applyAlignment="1">
      <alignment horizontal="left" vertical="top"/>
    </xf>
    <xf numFmtId="0" fontId="4" fillId="0" borderId="4" xfId="0" applyFont="1" applyBorder="1" applyAlignment="1">
      <alignment horizontal="left" vertical="top" wrapText="1"/>
    </xf>
    <xf numFmtId="0" fontId="4" fillId="0" borderId="0" xfId="0" applyFont="1" applyAlignment="1">
      <alignment horizontal="left" vertical="top" wrapText="1"/>
    </xf>
    <xf numFmtId="0" fontId="0" fillId="0" borderId="6" xfId="0" applyBorder="1" applyAlignment="1">
      <alignment horizontal="left" vertical="top"/>
    </xf>
    <xf numFmtId="0" fontId="4" fillId="0" borderId="6" xfId="0" applyFont="1" applyBorder="1" applyAlignment="1">
      <alignment horizontal="left" vertical="top" wrapText="1"/>
    </xf>
    <xf numFmtId="0" fontId="0" fillId="0" borderId="2" xfId="0" applyBorder="1"/>
    <xf numFmtId="0" fontId="0" fillId="0" borderId="1" xfId="0" applyBorder="1"/>
    <xf numFmtId="0" fontId="4" fillId="0" borderId="2" xfId="0" applyFont="1" applyBorder="1"/>
    <xf numFmtId="165" fontId="0" fillId="0" borderId="1" xfId="0" applyNumberFormat="1" applyBorder="1"/>
    <xf numFmtId="165" fontId="0" fillId="0" borderId="2" xfId="0" applyNumberFormat="1" applyBorder="1"/>
    <xf numFmtId="165" fontId="4" fillId="0" borderId="2" xfId="0" applyNumberFormat="1" applyFont="1" applyBorder="1"/>
    <xf numFmtId="0" fontId="2" fillId="15" borderId="0" xfId="0" applyFont="1" applyFill="1"/>
    <xf numFmtId="0" fontId="2" fillId="16" borderId="0" xfId="0" applyFont="1" applyFill="1"/>
    <xf numFmtId="0" fontId="4" fillId="16" borderId="0" xfId="0" applyFont="1" applyFill="1"/>
    <xf numFmtId="169" fontId="0" fillId="17" borderId="0" xfId="0" applyNumberFormat="1" applyFill="1" applyAlignment="1">
      <alignment horizontal="center"/>
    </xf>
    <xf numFmtId="0" fontId="2" fillId="17" borderId="0" xfId="0" applyFont="1" applyFill="1"/>
    <xf numFmtId="0" fontId="3" fillId="15" borderId="0" xfId="0" applyFont="1" applyFill="1" applyAlignment="1">
      <alignment horizontal="center"/>
    </xf>
    <xf numFmtId="168" fontId="3" fillId="16" borderId="0" xfId="0" applyNumberFormat="1" applyFont="1" applyFill="1" applyAlignment="1">
      <alignment horizontal="center"/>
    </xf>
    <xf numFmtId="0" fontId="3" fillId="17" borderId="0" xfId="0" applyFont="1" applyFill="1" applyAlignment="1">
      <alignment horizontal="center"/>
    </xf>
    <xf numFmtId="0" fontId="3" fillId="16" borderId="0" xfId="0" applyFont="1" applyFill="1" applyAlignment="1">
      <alignment horizontal="center"/>
    </xf>
    <xf numFmtId="0" fontId="0" fillId="16" borderId="0" xfId="0" applyFill="1" applyAlignment="1">
      <alignment horizontal="right" indent="1"/>
    </xf>
    <xf numFmtId="170" fontId="2" fillId="16" borderId="0" xfId="4" applyNumberFormat="1" applyFont="1" applyFill="1" applyAlignment="1">
      <alignment horizontal="center"/>
    </xf>
    <xf numFmtId="170" fontId="0" fillId="16" borderId="0" xfId="4" applyNumberFormat="1" applyFont="1" applyFill="1"/>
    <xf numFmtId="165" fontId="2" fillId="16" borderId="0" xfId="1" applyNumberFormat="1" applyFont="1" applyFill="1" applyAlignment="1">
      <alignment horizontal="right" indent="1"/>
    </xf>
    <xf numFmtId="171" fontId="2" fillId="16" borderId="0" xfId="0" applyNumberFormat="1" applyFont="1" applyFill="1" applyAlignment="1">
      <alignment horizontal="right"/>
    </xf>
    <xf numFmtId="171" fontId="0" fillId="16" borderId="0" xfId="1" applyNumberFormat="1" applyFont="1" applyFill="1" applyAlignment="1">
      <alignment horizontal="right"/>
    </xf>
    <xf numFmtId="171" fontId="1" fillId="16" borderId="0" xfId="1" applyNumberFormat="1" applyFont="1" applyFill="1" applyAlignment="1">
      <alignment horizontal="right"/>
    </xf>
    <xf numFmtId="0" fontId="27" fillId="17" borderId="0" xfId="0" applyFont="1" applyFill="1"/>
    <xf numFmtId="0" fontId="27" fillId="15" borderId="0" xfId="0" applyFont="1" applyFill="1"/>
    <xf numFmtId="168" fontId="27" fillId="16" borderId="0" xfId="0" applyNumberFormat="1" applyFont="1" applyFill="1" applyAlignment="1">
      <alignment horizontal="left"/>
    </xf>
    <xf numFmtId="0" fontId="3" fillId="15" borderId="0" xfId="0" applyFont="1" applyFill="1" applyAlignment="1">
      <alignment horizontal="right"/>
    </xf>
    <xf numFmtId="168" fontId="3" fillId="16" borderId="0" xfId="0" applyNumberFormat="1" applyFont="1" applyFill="1" applyAlignment="1">
      <alignment horizontal="right"/>
    </xf>
    <xf numFmtId="0" fontId="3" fillId="17" borderId="0" xfId="0" applyFont="1" applyFill="1" applyAlignment="1">
      <alignment horizontal="right"/>
    </xf>
    <xf numFmtId="170" fontId="2" fillId="17" borderId="0" xfId="4" applyNumberFormat="1" applyFont="1" applyFill="1" applyAlignment="1">
      <alignment horizontal="center"/>
    </xf>
    <xf numFmtId="165" fontId="0" fillId="17" borderId="0" xfId="1" applyNumberFormat="1" applyFont="1" applyFill="1" applyAlignment="1">
      <alignment horizontal="center"/>
    </xf>
    <xf numFmtId="172" fontId="2" fillId="15" borderId="0" xfId="1" applyNumberFormat="1" applyFont="1" applyFill="1" applyAlignment="1">
      <alignment horizontal="right"/>
    </xf>
    <xf numFmtId="173" fontId="2" fillId="15" borderId="0" xfId="1" applyNumberFormat="1" applyFont="1" applyFill="1" applyAlignment="1">
      <alignment horizontal="right"/>
    </xf>
    <xf numFmtId="174" fontId="2" fillId="15" borderId="0" xfId="1" applyNumberFormat="1" applyFont="1" applyFill="1" applyAlignment="1">
      <alignment horizontal="right"/>
    </xf>
    <xf numFmtId="165" fontId="2" fillId="15" borderId="0" xfId="1" applyNumberFormat="1" applyFont="1" applyFill="1" applyAlignment="1">
      <alignment horizontal="center"/>
    </xf>
    <xf numFmtId="170" fontId="2" fillId="16" borderId="0" xfId="4" applyNumberFormat="1" applyFont="1" applyFill="1" applyAlignment="1">
      <alignment horizontal="right" indent="1"/>
    </xf>
    <xf numFmtId="174" fontId="2" fillId="15" borderId="0" xfId="1" applyNumberFormat="1" applyFont="1" applyFill="1" applyAlignment="1">
      <alignment horizontal="center"/>
    </xf>
    <xf numFmtId="165" fontId="2" fillId="15" borderId="0" xfId="1" applyNumberFormat="1" applyFont="1" applyFill="1" applyAlignment="1">
      <alignment horizontal="right"/>
    </xf>
    <xf numFmtId="0" fontId="2" fillId="2" borderId="0" xfId="0" applyFont="1" applyFill="1" applyAlignment="1">
      <alignment textRotation="90" wrapText="1"/>
    </xf>
    <xf numFmtId="0" fontId="2" fillId="14" borderId="0" xfId="0" applyFont="1" applyFill="1"/>
    <xf numFmtId="165" fontId="2" fillId="14" borderId="0" xfId="1" applyNumberFormat="1" applyFont="1" applyFill="1"/>
    <xf numFmtId="165" fontId="29" fillId="14" borderId="0" xfId="1" applyNumberFormat="1" applyFont="1" applyFill="1"/>
    <xf numFmtId="165" fontId="2" fillId="14" borderId="0" xfId="0" applyNumberFormat="1" applyFont="1" applyFill="1"/>
    <xf numFmtId="0" fontId="6" fillId="0" borderId="0" xfId="0" applyFont="1" applyAlignment="1">
      <alignment horizontal="center" vertical="center"/>
    </xf>
    <xf numFmtId="0" fontId="4" fillId="0" borderId="0" xfId="0" applyFont="1" applyAlignment="1">
      <alignment textRotation="90" wrapText="1"/>
    </xf>
    <xf numFmtId="0" fontId="4" fillId="0" borderId="1" xfId="0" applyFont="1" applyBorder="1"/>
    <xf numFmtId="0" fontId="4" fillId="2" borderId="0" xfId="0" applyFont="1" applyFill="1" applyAlignment="1">
      <alignment textRotation="90" wrapText="1"/>
    </xf>
    <xf numFmtId="165" fontId="4" fillId="0" borderId="0" xfId="0" applyNumberFormat="1" applyFont="1"/>
    <xf numFmtId="165" fontId="4" fillId="0" borderId="1" xfId="0" applyNumberFormat="1" applyFont="1" applyBorder="1"/>
    <xf numFmtId="165" fontId="4" fillId="0" borderId="0" xfId="1" applyNumberFormat="1" applyFont="1"/>
    <xf numFmtId="165" fontId="16" fillId="14" borderId="0" xfId="1" applyNumberFormat="1" applyFont="1" applyFill="1"/>
    <xf numFmtId="167" fontId="4" fillId="0" borderId="0" xfId="1" applyNumberFormat="1" applyFont="1" applyFill="1" applyProtection="1"/>
    <xf numFmtId="165" fontId="16" fillId="8" borderId="0" xfId="0" applyNumberFormat="1" applyFont="1" applyFill="1"/>
    <xf numFmtId="0" fontId="4" fillId="2" borderId="0" xfId="0" applyFont="1" applyFill="1"/>
    <xf numFmtId="164" fontId="4" fillId="0" borderId="0" xfId="1" applyNumberFormat="1" applyFont="1" applyFill="1" applyBorder="1"/>
    <xf numFmtId="165" fontId="0" fillId="18" borderId="0" xfId="1" applyNumberFormat="1" applyFont="1" applyFill="1" applyProtection="1"/>
    <xf numFmtId="167" fontId="0" fillId="18" borderId="0" xfId="1" applyNumberFormat="1" applyFont="1" applyFill="1" applyProtection="1"/>
    <xf numFmtId="0" fontId="16" fillId="0" borderId="0" xfId="0" applyFont="1"/>
    <xf numFmtId="0" fontId="0" fillId="0" borderId="0" xfId="0" applyAlignment="1">
      <alignment horizontal="left" vertical="top" wrapText="1"/>
    </xf>
    <xf numFmtId="0" fontId="0" fillId="0" borderId="0" xfId="1" applyNumberFormat="1" applyFont="1" applyAlignment="1">
      <alignment horizontal="left"/>
    </xf>
    <xf numFmtId="0" fontId="10" fillId="11" borderId="0" xfId="1" applyNumberFormat="1" applyFont="1" applyFill="1" applyAlignment="1">
      <alignment horizontal="left" vertical="top"/>
    </xf>
    <xf numFmtId="0" fontId="4" fillId="0" borderId="0" xfId="1" applyNumberFormat="1" applyFont="1" applyFill="1" applyAlignment="1">
      <alignment horizontal="left" vertical="top" wrapText="1"/>
    </xf>
    <xf numFmtId="0" fontId="4" fillId="0" borderId="0" xfId="1" applyNumberFormat="1" applyFont="1" applyFill="1" applyAlignment="1">
      <alignment horizontal="left" vertical="top"/>
    </xf>
    <xf numFmtId="0" fontId="4" fillId="0" borderId="3" xfId="1" applyNumberFormat="1" applyFont="1" applyBorder="1" applyAlignment="1">
      <alignment horizontal="left" vertical="top" wrapText="1"/>
    </xf>
    <xf numFmtId="0" fontId="4" fillId="0" borderId="4" xfId="1" applyNumberFormat="1" applyFont="1" applyBorder="1" applyAlignment="1">
      <alignment horizontal="left" vertical="top" wrapText="1"/>
    </xf>
    <xf numFmtId="0" fontId="4" fillId="0" borderId="0" xfId="1" applyNumberFormat="1" applyFont="1" applyBorder="1" applyAlignment="1">
      <alignment horizontal="left" vertical="top" wrapText="1"/>
    </xf>
    <xf numFmtId="0" fontId="4" fillId="0" borderId="5" xfId="1" applyNumberFormat="1" applyFont="1" applyBorder="1" applyAlignment="1">
      <alignment horizontal="left" vertical="top" wrapText="1"/>
    </xf>
    <xf numFmtId="0" fontId="0" fillId="0" borderId="0" xfId="1" applyNumberFormat="1" applyFont="1" applyAlignment="1">
      <alignment horizontal="left" vertical="top"/>
    </xf>
    <xf numFmtId="0" fontId="10" fillId="11" borderId="1" xfId="1" applyNumberFormat="1" applyFont="1" applyFill="1" applyBorder="1" applyAlignment="1">
      <alignment horizontal="left" vertical="top"/>
    </xf>
    <xf numFmtId="0" fontId="4" fillId="0" borderId="6" xfId="1" applyNumberFormat="1" applyFont="1" applyBorder="1" applyAlignment="1">
      <alignment horizontal="left" vertical="top" wrapText="1"/>
    </xf>
    <xf numFmtId="0" fontId="4" fillId="0" borderId="0" xfId="1" applyNumberFormat="1" applyFont="1" applyAlignment="1">
      <alignment horizontal="left" vertical="center" wrapText="1"/>
    </xf>
    <xf numFmtId="9" fontId="0" fillId="0" borderId="0" xfId="2" applyFont="1"/>
    <xf numFmtId="43" fontId="13" fillId="0" borderId="0" xfId="1" applyFont="1" applyAlignment="1">
      <alignment vertical="center"/>
    </xf>
    <xf numFmtId="0" fontId="28" fillId="0" borderId="0" xfId="0" applyFont="1" applyAlignment="1">
      <alignment horizontal="center" vertical="center"/>
    </xf>
    <xf numFmtId="0" fontId="4" fillId="0" borderId="0" xfId="1" applyNumberFormat="1" applyFont="1" applyFill="1" applyBorder="1" applyAlignment="1">
      <alignment horizontal="left" vertical="top" wrapText="1"/>
    </xf>
    <xf numFmtId="0" fontId="34" fillId="0" borderId="4" xfId="0" applyFont="1" applyBorder="1" applyAlignment="1">
      <alignment horizontal="left" vertical="top" wrapText="1"/>
    </xf>
    <xf numFmtId="0" fontId="35" fillId="11" borderId="0" xfId="0" applyFont="1" applyFill="1"/>
    <xf numFmtId="0" fontId="2" fillId="2" borderId="10" xfId="0" applyFont="1" applyFill="1" applyBorder="1"/>
    <xf numFmtId="0" fontId="0" fillId="2" borderId="11" xfId="0" applyFill="1" applyBorder="1"/>
    <xf numFmtId="0" fontId="0" fillId="2" borderId="12" xfId="0" applyFill="1" applyBorder="1"/>
    <xf numFmtId="0" fontId="0" fillId="2" borderId="13" xfId="0" applyFill="1" applyBorder="1"/>
    <xf numFmtId="0" fontId="0" fillId="2" borderId="14" xfId="0" applyFill="1" applyBorder="1"/>
    <xf numFmtId="0" fontId="0" fillId="2" borderId="15" xfId="0" applyFill="1" applyBorder="1"/>
    <xf numFmtId="0" fontId="0" fillId="2" borderId="16" xfId="0" applyFill="1" applyBorder="1"/>
    <xf numFmtId="0" fontId="0" fillId="2" borderId="17" xfId="0" applyFill="1" applyBorder="1"/>
    <xf numFmtId="0" fontId="31" fillId="0" borderId="4" xfId="3" applyFont="1" applyFill="1" applyBorder="1" applyAlignment="1">
      <alignment horizontal="center" vertical="center"/>
    </xf>
    <xf numFmtId="0" fontId="4" fillId="0" borderId="6" xfId="0" quotePrefix="1" applyFont="1" applyBorder="1" applyAlignment="1">
      <alignment horizontal="left" vertical="top" wrapText="1"/>
    </xf>
    <xf numFmtId="0" fontId="4" fillId="0" borderId="4" xfId="1" applyNumberFormat="1" applyFont="1" applyFill="1" applyBorder="1" applyAlignment="1">
      <alignment horizontal="left" vertical="top" wrapText="1"/>
    </xf>
    <xf numFmtId="0" fontId="2" fillId="2" borderId="18" xfId="0" applyFont="1" applyFill="1" applyBorder="1"/>
    <xf numFmtId="0" fontId="13" fillId="0" borderId="4" xfId="3" applyBorder="1" applyAlignment="1">
      <alignment horizontal="center" vertical="center"/>
    </xf>
    <xf numFmtId="0" fontId="13" fillId="0" borderId="0" xfId="3" applyAlignment="1">
      <alignment horizontal="center" vertical="center"/>
    </xf>
    <xf numFmtId="0" fontId="19" fillId="0" borderId="0" xfId="0" applyFont="1" applyAlignment="1">
      <alignment horizontal="left" vertical="top" wrapText="1"/>
    </xf>
    <xf numFmtId="0" fontId="13" fillId="0" borderId="3" xfId="3" applyBorder="1" applyAlignment="1">
      <alignment horizontal="center" vertical="center"/>
    </xf>
    <xf numFmtId="0" fontId="43" fillId="0" borderId="0" xfId="0" applyFont="1" applyAlignment="1">
      <alignment vertical="center" wrapText="1"/>
    </xf>
    <xf numFmtId="0" fontId="3" fillId="0" borderId="0" xfId="0" applyFont="1" applyAlignment="1">
      <alignment horizontal="right"/>
    </xf>
    <xf numFmtId="165" fontId="0" fillId="4" borderId="0" xfId="1" applyNumberFormat="1" applyFont="1" applyFill="1" applyProtection="1"/>
    <xf numFmtId="167" fontId="0" fillId="4" borderId="0" xfId="1" applyNumberFormat="1" applyFont="1" applyFill="1" applyProtection="1"/>
    <xf numFmtId="165" fontId="16" fillId="10" borderId="0" xfId="0" applyNumberFormat="1" applyFont="1" applyFill="1"/>
    <xf numFmtId="165" fontId="6" fillId="0" borderId="0" xfId="1" applyNumberFormat="1" applyFont="1" applyFill="1"/>
    <xf numFmtId="0" fontId="13" fillId="0" borderId="0" xfId="3" quotePrefix="1" applyNumberFormat="1" applyFill="1" applyAlignment="1" applyProtection="1">
      <alignment horizontal="left" vertical="top" wrapText="1"/>
    </xf>
    <xf numFmtId="0" fontId="0" fillId="16" borderId="0" xfId="0" applyFill="1" applyAlignment="1">
      <alignment horizontal="left" vertical="center"/>
    </xf>
    <xf numFmtId="43" fontId="3" fillId="0" borderId="0" xfId="1" applyFont="1"/>
    <xf numFmtId="165" fontId="4" fillId="18" borderId="0" xfId="1" applyNumberFormat="1" applyFont="1" applyFill="1"/>
    <xf numFmtId="49" fontId="4" fillId="0" borderId="0" xfId="1" applyNumberFormat="1" applyFont="1" applyAlignment="1">
      <alignment horizontal="left"/>
    </xf>
    <xf numFmtId="0" fontId="10" fillId="0" borderId="0" xfId="0" applyFont="1" applyAlignment="1" applyProtection="1">
      <alignment wrapText="1"/>
      <protection locked="0"/>
    </xf>
    <xf numFmtId="0" fontId="2" fillId="0" borderId="0" xfId="0" applyFont="1" applyAlignment="1">
      <alignment horizontal="left" wrapText="1"/>
    </xf>
    <xf numFmtId="0" fontId="7" fillId="0" borderId="0" xfId="0" applyFont="1"/>
    <xf numFmtId="9" fontId="0" fillId="0" borderId="0" xfId="2" applyFont="1" applyFill="1"/>
    <xf numFmtId="0" fontId="4" fillId="0" borderId="0" xfId="0" applyFont="1" applyAlignment="1">
      <alignment horizontal="left"/>
    </xf>
    <xf numFmtId="43" fontId="38" fillId="0" borderId="0" xfId="1" applyFont="1" applyFill="1" applyAlignment="1">
      <alignment horizontal="right"/>
    </xf>
    <xf numFmtId="0" fontId="11" fillId="0" borderId="0" xfId="0" applyFont="1"/>
    <xf numFmtId="165" fontId="11" fillId="0" borderId="0" xfId="0" applyNumberFormat="1" applyFont="1"/>
    <xf numFmtId="165" fontId="11" fillId="0" borderId="0" xfId="1" applyNumberFormat="1" applyFont="1" applyFill="1"/>
    <xf numFmtId="0" fontId="11" fillId="0" borderId="0" xfId="0" applyFont="1" applyAlignment="1">
      <alignment horizontal="left"/>
    </xf>
    <xf numFmtId="165" fontId="11" fillId="0" borderId="0" xfId="1" applyNumberFormat="1" applyFont="1"/>
    <xf numFmtId="0" fontId="2" fillId="0" borderId="19" xfId="0" applyFont="1" applyBorder="1"/>
    <xf numFmtId="0" fontId="4" fillId="0" borderId="1" xfId="0" applyFont="1" applyBorder="1" applyAlignment="1">
      <alignment horizontal="left"/>
    </xf>
    <xf numFmtId="0" fontId="0" fillId="23" borderId="0" xfId="0" applyFill="1"/>
    <xf numFmtId="0" fontId="2" fillId="0" borderId="19" xfId="0" applyFont="1" applyBorder="1" applyAlignment="1">
      <alignment textRotation="90" wrapText="1"/>
    </xf>
    <xf numFmtId="0" fontId="16" fillId="0" borderId="19" xfId="0" applyFont="1" applyBorder="1" applyAlignment="1">
      <alignment textRotation="90" wrapText="1"/>
    </xf>
    <xf numFmtId="0" fontId="16" fillId="0" borderId="1" xfId="0" applyFont="1" applyBorder="1"/>
    <xf numFmtId="0" fontId="2" fillId="0" borderId="1" xfId="0" applyFont="1" applyBorder="1"/>
    <xf numFmtId="0" fontId="45" fillId="2" borderId="0" xfId="0" applyFont="1" applyFill="1"/>
    <xf numFmtId="165" fontId="4" fillId="18" borderId="2" xfId="1" applyNumberFormat="1" applyFont="1" applyFill="1" applyBorder="1" applyProtection="1"/>
    <xf numFmtId="165" fontId="4" fillId="4" borderId="2" xfId="1" applyNumberFormat="1" applyFont="1" applyFill="1" applyBorder="1" applyProtection="1"/>
    <xf numFmtId="165" fontId="4" fillId="0" borderId="2" xfId="1" applyNumberFormat="1" applyFont="1" applyFill="1" applyBorder="1" applyProtection="1"/>
    <xf numFmtId="175" fontId="4" fillId="4" borderId="0" xfId="1" applyNumberFormat="1" applyFont="1" applyFill="1" applyBorder="1" applyProtection="1"/>
    <xf numFmtId="175" fontId="4" fillId="0" borderId="0" xfId="1" applyNumberFormat="1" applyFont="1" applyFill="1" applyBorder="1" applyProtection="1"/>
    <xf numFmtId="0" fontId="4" fillId="0" borderId="0" xfId="1" applyNumberFormat="1" applyFont="1" applyFill="1" applyBorder="1" applyProtection="1"/>
    <xf numFmtId="0" fontId="4" fillId="0" borderId="0" xfId="1" applyNumberFormat="1" applyFont="1" applyFill="1" applyBorder="1" applyAlignment="1" applyProtection="1">
      <alignment horizontal="left"/>
    </xf>
    <xf numFmtId="165" fontId="4" fillId="4" borderId="0" xfId="1" applyNumberFormat="1" applyFont="1" applyFill="1" applyBorder="1" applyProtection="1"/>
    <xf numFmtId="165" fontId="4" fillId="9" borderId="0" xfId="1" applyNumberFormat="1" applyFont="1" applyFill="1" applyBorder="1" applyProtection="1"/>
    <xf numFmtId="165" fontId="4" fillId="18" borderId="0" xfId="1" applyNumberFormat="1" applyFont="1" applyFill="1" applyBorder="1" applyProtection="1"/>
    <xf numFmtId="165" fontId="4" fillId="0" borderId="0" xfId="1" applyNumberFormat="1" applyFont="1" applyFill="1" applyBorder="1" applyProtection="1"/>
    <xf numFmtId="0" fontId="4" fillId="4" borderId="0" xfId="0" applyFont="1" applyFill="1"/>
    <xf numFmtId="0" fontId="4" fillId="18" borderId="0" xfId="0" applyFont="1" applyFill="1"/>
    <xf numFmtId="0" fontId="4" fillId="9" borderId="0" xfId="0" applyFont="1" applyFill="1"/>
    <xf numFmtId="166" fontId="4" fillId="4" borderId="1" xfId="1" applyNumberFormat="1" applyFont="1" applyFill="1" applyBorder="1" applyProtection="1"/>
    <xf numFmtId="166" fontId="4" fillId="22" borderId="1" xfId="1" applyNumberFormat="1" applyFont="1" applyFill="1" applyBorder="1" applyProtection="1"/>
    <xf numFmtId="166" fontId="4" fillId="0" borderId="1" xfId="1" applyNumberFormat="1" applyFont="1" applyFill="1" applyBorder="1" applyProtection="1"/>
    <xf numFmtId="0" fontId="0" fillId="18" borderId="20" xfId="0" applyFill="1" applyBorder="1"/>
    <xf numFmtId="0" fontId="4" fillId="0" borderId="21" xfId="0" applyFont="1" applyBorder="1"/>
    <xf numFmtId="0" fontId="0" fillId="4" borderId="22" xfId="0" applyFill="1" applyBorder="1"/>
    <xf numFmtId="0" fontId="4" fillId="0" borderId="23" xfId="0" applyFont="1" applyBorder="1"/>
    <xf numFmtId="0" fontId="0" fillId="9" borderId="22" xfId="0" applyFill="1" applyBorder="1"/>
    <xf numFmtId="0" fontId="0" fillId="22" borderId="24" xfId="0" applyFill="1" applyBorder="1"/>
    <xf numFmtId="0" fontId="4" fillId="0" borderId="25" xfId="0" applyFont="1" applyBorder="1"/>
    <xf numFmtId="0" fontId="0" fillId="7" borderId="0" xfId="0" applyFill="1" applyProtection="1">
      <protection locked="0"/>
    </xf>
    <xf numFmtId="0" fontId="4" fillId="7" borderId="0" xfId="0" applyFont="1" applyFill="1" applyProtection="1">
      <protection locked="0"/>
    </xf>
    <xf numFmtId="0" fontId="2" fillId="0" borderId="6" xfId="0" applyFont="1" applyBorder="1" applyAlignment="1">
      <alignment textRotation="90" wrapText="1"/>
    </xf>
    <xf numFmtId="0" fontId="16" fillId="0" borderId="6" xfId="0" applyFont="1" applyBorder="1" applyAlignment="1">
      <alignment textRotation="90" wrapText="1"/>
    </xf>
    <xf numFmtId="43" fontId="17" fillId="7" borderId="0" xfId="1" applyFont="1" applyFill="1" applyAlignment="1">
      <alignment horizontal="left"/>
    </xf>
    <xf numFmtId="0" fontId="4" fillId="7" borderId="0" xfId="0" applyFont="1" applyFill="1"/>
    <xf numFmtId="0" fontId="17" fillId="23" borderId="0" xfId="0" applyFont="1" applyFill="1" applyAlignment="1">
      <alignment wrapText="1"/>
    </xf>
    <xf numFmtId="0" fontId="1" fillId="23" borderId="0" xfId="0" applyFont="1" applyFill="1"/>
    <xf numFmtId="0" fontId="13" fillId="23" borderId="0" xfId="3" applyFill="1"/>
    <xf numFmtId="0" fontId="13" fillId="23" borderId="0" xfId="3" applyFill="1" applyAlignment="1">
      <alignment wrapText="1"/>
    </xf>
    <xf numFmtId="0" fontId="39" fillId="23" borderId="0" xfId="0" applyFont="1" applyFill="1"/>
    <xf numFmtId="0" fontId="2" fillId="23" borderId="0" xfId="0" applyFont="1" applyFill="1"/>
    <xf numFmtId="0" fontId="13" fillId="23" borderId="0" xfId="3" quotePrefix="1" applyFill="1" applyBorder="1"/>
    <xf numFmtId="0" fontId="40" fillId="23" borderId="0" xfId="3" quotePrefix="1" applyFont="1" applyFill="1" applyBorder="1"/>
    <xf numFmtId="0" fontId="16" fillId="23" borderId="0" xfId="0" applyFont="1" applyFill="1"/>
    <xf numFmtId="0" fontId="13" fillId="23" borderId="0" xfId="3" quotePrefix="1" applyFill="1"/>
    <xf numFmtId="0" fontId="0" fillId="23" borderId="0" xfId="0" applyFill="1" applyAlignment="1">
      <alignment wrapText="1"/>
    </xf>
    <xf numFmtId="0" fontId="1" fillId="23" borderId="0" xfId="0" applyFont="1" applyFill="1" applyAlignment="1">
      <alignment wrapText="1"/>
    </xf>
    <xf numFmtId="0" fontId="4" fillId="9" borderId="1" xfId="0" applyFont="1" applyFill="1" applyBorder="1"/>
    <xf numFmtId="0" fontId="46" fillId="7" borderId="0" xfId="0" quotePrefix="1" applyFont="1" applyFill="1" applyAlignment="1" applyProtection="1">
      <alignment horizontal="right" vertical="top"/>
      <protection locked="0"/>
    </xf>
    <xf numFmtId="43" fontId="2" fillId="7" borderId="0" xfId="1" applyFont="1" applyFill="1" applyAlignment="1">
      <alignment horizontal="left"/>
    </xf>
    <xf numFmtId="0" fontId="1" fillId="7" borderId="0" xfId="0" applyFont="1" applyFill="1"/>
    <xf numFmtId="0" fontId="37" fillId="0" borderId="0" xfId="0" applyFont="1" applyAlignment="1">
      <alignment horizontal="left" vertical="top"/>
    </xf>
    <xf numFmtId="165" fontId="0" fillId="9" borderId="0" xfId="1" applyNumberFormat="1" applyFont="1" applyFill="1" applyProtection="1"/>
    <xf numFmtId="167" fontId="0" fillId="9" borderId="0" xfId="1" applyNumberFormat="1" applyFont="1" applyFill="1" applyProtection="1"/>
    <xf numFmtId="176" fontId="2" fillId="15" borderId="0" xfId="1" applyNumberFormat="1" applyFont="1" applyFill="1" applyAlignment="1">
      <alignment horizontal="right"/>
    </xf>
    <xf numFmtId="177" fontId="2" fillId="15" borderId="0" xfId="1" applyNumberFormat="1" applyFont="1" applyFill="1" applyAlignment="1">
      <alignment horizontal="right"/>
    </xf>
    <xf numFmtId="178" fontId="2" fillId="16" borderId="0" xfId="0" applyNumberFormat="1" applyFont="1" applyFill="1" applyAlignment="1">
      <alignment horizontal="right"/>
    </xf>
    <xf numFmtId="178" fontId="0" fillId="16" borderId="0" xfId="1" applyNumberFormat="1" applyFont="1" applyFill="1" applyAlignment="1">
      <alignment horizontal="right"/>
    </xf>
    <xf numFmtId="178" fontId="1" fillId="16" borderId="0" xfId="1" applyNumberFormat="1" applyFont="1" applyFill="1" applyAlignment="1">
      <alignment horizontal="right"/>
    </xf>
    <xf numFmtId="0" fontId="13" fillId="0" borderId="0" xfId="3" applyAlignment="1">
      <alignment vertical="center" wrapText="1"/>
    </xf>
    <xf numFmtId="0" fontId="36" fillId="7" borderId="8" xfId="0" applyFont="1" applyFill="1" applyBorder="1" applyAlignment="1">
      <alignment vertical="center"/>
    </xf>
    <xf numFmtId="0" fontId="36" fillId="7" borderId="8" xfId="0" applyFont="1" applyFill="1" applyBorder="1" applyAlignment="1">
      <alignment vertical="center" wrapText="1"/>
    </xf>
    <xf numFmtId="0" fontId="36" fillId="7" borderId="9" xfId="0" applyFont="1" applyFill="1" applyBorder="1" applyAlignment="1">
      <alignment vertical="center" wrapText="1"/>
    </xf>
    <xf numFmtId="165" fontId="4" fillId="8" borderId="0" xfId="1" applyNumberFormat="1" applyFont="1" applyFill="1" applyProtection="1">
      <protection locked="0"/>
    </xf>
    <xf numFmtId="0" fontId="4" fillId="3" borderId="0" xfId="0" applyFont="1" applyFill="1" applyProtection="1">
      <protection locked="0"/>
    </xf>
    <xf numFmtId="165" fontId="4" fillId="3" borderId="0" xfId="1" applyNumberFormat="1" applyFont="1" applyFill="1" applyProtection="1">
      <protection locked="0"/>
    </xf>
    <xf numFmtId="0" fontId="4" fillId="3" borderId="1" xfId="0" applyFont="1" applyFill="1" applyBorder="1" applyProtection="1">
      <protection locked="0"/>
    </xf>
    <xf numFmtId="165" fontId="4" fillId="3" borderId="1" xfId="1" applyNumberFormat="1" applyFont="1" applyFill="1" applyBorder="1" applyProtection="1">
      <protection locked="0"/>
    </xf>
    <xf numFmtId="0" fontId="0" fillId="0" borderId="0" xfId="0" applyAlignment="1">
      <alignment horizontal="right" vertical="center"/>
    </xf>
    <xf numFmtId="0" fontId="4" fillId="0" borderId="0" xfId="0" applyFont="1" applyAlignment="1">
      <alignment horizontal="center" vertical="center"/>
    </xf>
    <xf numFmtId="0" fontId="0" fillId="0" borderId="26" xfId="0" applyBorder="1"/>
    <xf numFmtId="0" fontId="2" fillId="0" borderId="2" xfId="0" applyFont="1" applyBorder="1"/>
    <xf numFmtId="0" fontId="18" fillId="13" borderId="0" xfId="0" applyFont="1" applyFill="1" applyAlignment="1" applyProtection="1">
      <alignment horizontal="left" vertical="top" wrapText="1"/>
      <protection locked="0"/>
    </xf>
    <xf numFmtId="165" fontId="4" fillId="8" borderId="0" xfId="1" applyNumberFormat="1" applyFont="1" applyFill="1" applyBorder="1" applyProtection="1">
      <protection locked="0"/>
    </xf>
    <xf numFmtId="166" fontId="4" fillId="8" borderId="0" xfId="1" applyNumberFormat="1" applyFont="1" applyFill="1" applyBorder="1" applyProtection="1">
      <protection locked="0"/>
    </xf>
    <xf numFmtId="165" fontId="4" fillId="8" borderId="1" xfId="1" applyNumberFormat="1" applyFont="1" applyFill="1" applyBorder="1" applyProtection="1">
      <protection locked="0"/>
    </xf>
    <xf numFmtId="166" fontId="4" fillId="8" borderId="0" xfId="1" applyNumberFormat="1" applyFont="1" applyFill="1" applyProtection="1">
      <protection locked="0"/>
    </xf>
    <xf numFmtId="165" fontId="4" fillId="8" borderId="2" xfId="1" applyNumberFormat="1" applyFont="1" applyFill="1" applyBorder="1" applyProtection="1">
      <protection locked="0"/>
    </xf>
    <xf numFmtId="43" fontId="4" fillId="3" borderId="0" xfId="1" applyFont="1" applyFill="1" applyBorder="1" applyProtection="1">
      <protection locked="0"/>
    </xf>
    <xf numFmtId="43" fontId="0" fillId="3" borderId="0" xfId="1" applyFont="1" applyFill="1" applyBorder="1" applyProtection="1">
      <protection locked="0"/>
    </xf>
    <xf numFmtId="166" fontId="4" fillId="3" borderId="0" xfId="1" applyNumberFormat="1" applyFont="1" applyFill="1" applyBorder="1" applyProtection="1">
      <protection locked="0"/>
    </xf>
    <xf numFmtId="166" fontId="0" fillId="3" borderId="0" xfId="1" applyNumberFormat="1" applyFont="1" applyFill="1" applyBorder="1" applyProtection="1">
      <protection locked="0"/>
    </xf>
    <xf numFmtId="43" fontId="4" fillId="3" borderId="1" xfId="1" applyFont="1" applyFill="1" applyBorder="1" applyProtection="1">
      <protection locked="0"/>
    </xf>
    <xf numFmtId="43" fontId="4" fillId="3" borderId="0" xfId="1" applyFont="1" applyFill="1" applyProtection="1">
      <protection locked="0"/>
    </xf>
    <xf numFmtId="43" fontId="0" fillId="3" borderId="0" xfId="1" applyFont="1" applyFill="1" applyProtection="1">
      <protection locked="0"/>
    </xf>
    <xf numFmtId="166" fontId="4" fillId="3" borderId="0" xfId="1" applyNumberFormat="1" applyFont="1" applyFill="1" applyProtection="1">
      <protection locked="0"/>
    </xf>
    <xf numFmtId="166" fontId="0" fillId="3" borderId="0" xfId="1" applyNumberFormat="1" applyFont="1" applyFill="1" applyProtection="1">
      <protection locked="0"/>
    </xf>
    <xf numFmtId="43" fontId="4" fillId="3" borderId="2" xfId="1" applyFont="1" applyFill="1" applyBorder="1" applyProtection="1">
      <protection locked="0"/>
    </xf>
    <xf numFmtId="43" fontId="0" fillId="3" borderId="1" xfId="1" applyFont="1" applyFill="1" applyBorder="1" applyProtection="1">
      <protection locked="0"/>
    </xf>
    <xf numFmtId="0" fontId="4" fillId="0" borderId="0" xfId="0" applyFont="1" applyAlignment="1">
      <alignment horizontal="right" vertical="center"/>
    </xf>
    <xf numFmtId="0" fontId="2" fillId="0" borderId="27" xfId="0" applyFont="1" applyBorder="1"/>
    <xf numFmtId="10" fontId="2" fillId="10" borderId="0" xfId="2" applyNumberFormat="1" applyFont="1" applyFill="1"/>
    <xf numFmtId="10" fontId="2" fillId="8" borderId="0" xfId="2" applyNumberFormat="1" applyFont="1" applyFill="1"/>
    <xf numFmtId="10" fontId="2" fillId="9" borderId="0" xfId="2" applyNumberFormat="1" applyFont="1" applyFill="1"/>
    <xf numFmtId="175" fontId="2" fillId="10" borderId="0" xfId="0" applyNumberFormat="1" applyFont="1" applyFill="1"/>
    <xf numFmtId="10" fontId="2" fillId="16" borderId="0" xfId="2" applyNumberFormat="1" applyFont="1" applyFill="1" applyAlignment="1">
      <alignment horizontal="right"/>
    </xf>
    <xf numFmtId="10" fontId="2" fillId="16" borderId="0" xfId="2" applyNumberFormat="1" applyFont="1" applyFill="1" applyAlignment="1">
      <alignment horizontal="right" indent="1"/>
    </xf>
    <xf numFmtId="10" fontId="2" fillId="15" borderId="0" xfId="2" applyNumberFormat="1" applyFont="1" applyFill="1" applyAlignment="1">
      <alignment horizontal="right"/>
    </xf>
    <xf numFmtId="10" fontId="2" fillId="15" borderId="0" xfId="2" applyNumberFormat="1" applyFont="1" applyFill="1" applyAlignment="1">
      <alignment horizontal="center"/>
    </xf>
    <xf numFmtId="10" fontId="0" fillId="15" borderId="0" xfId="2" applyNumberFormat="1" applyFont="1" applyFill="1"/>
    <xf numFmtId="10" fontId="2" fillId="17" borderId="0" xfId="2" applyNumberFormat="1" applyFont="1" applyFill="1" applyAlignment="1">
      <alignment horizontal="right"/>
    </xf>
    <xf numFmtId="165" fontId="2" fillId="17" borderId="0" xfId="1" applyNumberFormat="1" applyFont="1" applyFill="1" applyAlignment="1">
      <alignment horizontal="center"/>
    </xf>
    <xf numFmtId="175" fontId="0" fillId="10" borderId="0" xfId="0" applyNumberFormat="1" applyFill="1"/>
    <xf numFmtId="165" fontId="0" fillId="10" borderId="0" xfId="0" applyNumberFormat="1" applyFill="1"/>
    <xf numFmtId="0" fontId="31" fillId="0" borderId="0" xfId="3" applyFont="1" applyAlignment="1">
      <alignment vertical="center"/>
    </xf>
    <xf numFmtId="0" fontId="2" fillId="0" borderId="19" xfId="0" applyFont="1" applyBorder="1" applyAlignment="1">
      <alignment horizontal="right" wrapText="1"/>
    </xf>
    <xf numFmtId="9" fontId="4" fillId="0" borderId="0" xfId="2" applyFont="1"/>
    <xf numFmtId="0" fontId="16" fillId="0" borderId="1" xfId="0" applyFont="1" applyBorder="1" applyAlignment="1">
      <alignment vertical="top" wrapText="1"/>
    </xf>
    <xf numFmtId="165" fontId="4" fillId="4" borderId="1" xfId="1" applyNumberFormat="1" applyFont="1" applyFill="1" applyBorder="1" applyProtection="1"/>
    <xf numFmtId="165" fontId="4" fillId="0" borderId="1" xfId="1" applyNumberFormat="1" applyFont="1" applyFill="1" applyBorder="1" applyProtection="1"/>
    <xf numFmtId="43" fontId="0" fillId="3" borderId="2" xfId="1" applyFont="1" applyFill="1" applyBorder="1" applyProtection="1">
      <protection locked="0"/>
    </xf>
    <xf numFmtId="165" fontId="16" fillId="9" borderId="1" xfId="0" applyNumberFormat="1" applyFont="1" applyFill="1" applyBorder="1"/>
    <xf numFmtId="10" fontId="2" fillId="9" borderId="1" xfId="2" applyNumberFormat="1" applyFont="1" applyFill="1" applyBorder="1"/>
    <xf numFmtId="9" fontId="0" fillId="0" borderId="1" xfId="2" applyFont="1" applyFill="1" applyBorder="1"/>
    <xf numFmtId="0" fontId="34" fillId="0" borderId="3" xfId="0" applyFont="1" applyBorder="1" applyAlignment="1">
      <alignment horizontal="left" vertical="top" wrapText="1"/>
    </xf>
    <xf numFmtId="0" fontId="4" fillId="0" borderId="3" xfId="0" applyFont="1" applyBorder="1" applyAlignment="1">
      <alignment horizontal="left" vertical="top" wrapText="1"/>
    </xf>
    <xf numFmtId="0" fontId="4" fillId="0" borderId="5" xfId="0" applyFont="1" applyBorder="1" applyAlignment="1">
      <alignment horizontal="left" vertical="top" wrapText="1"/>
    </xf>
    <xf numFmtId="49" fontId="17" fillId="0" borderId="0" xfId="1" applyNumberFormat="1" applyFont="1" applyAlignment="1">
      <alignment horizontal="left" vertical="top" indent="1"/>
    </xf>
    <xf numFmtId="0" fontId="23" fillId="24" borderId="0" xfId="0" applyFont="1" applyFill="1"/>
    <xf numFmtId="175" fontId="4" fillId="8" borderId="0" xfId="1" applyNumberFormat="1" applyFont="1" applyFill="1" applyProtection="1">
      <protection locked="0"/>
    </xf>
    <xf numFmtId="175" fontId="4" fillId="3" borderId="0" xfId="1" applyNumberFormat="1" applyFont="1" applyFill="1" applyProtection="1">
      <protection locked="0"/>
    </xf>
    <xf numFmtId="175" fontId="0" fillId="3" borderId="0" xfId="1" applyNumberFormat="1" applyFont="1" applyFill="1" applyProtection="1">
      <protection locked="0"/>
    </xf>
    <xf numFmtId="0" fontId="48" fillId="0" borderId="0" xfId="0" applyFont="1"/>
    <xf numFmtId="0" fontId="49" fillId="0" borderId="0" xfId="0" applyFont="1"/>
    <xf numFmtId="165" fontId="49" fillId="0" borderId="0" xfId="1" applyNumberFormat="1" applyFont="1"/>
    <xf numFmtId="0" fontId="49" fillId="0" borderId="0" xfId="0" applyFont="1" applyAlignment="1">
      <alignment horizontal="left"/>
    </xf>
    <xf numFmtId="165" fontId="49" fillId="0" borderId="0" xfId="1" applyNumberFormat="1" applyFont="1" applyFill="1"/>
    <xf numFmtId="165" fontId="0" fillId="20" borderId="26" xfId="1" applyNumberFormat="1" applyFont="1" applyFill="1" applyBorder="1" applyProtection="1">
      <protection locked="0"/>
    </xf>
    <xf numFmtId="165" fontId="0" fillId="20" borderId="0" xfId="1" applyNumberFormat="1" applyFont="1" applyFill="1" applyProtection="1">
      <protection locked="0"/>
    </xf>
    <xf numFmtId="165" fontId="4" fillId="20" borderId="0" xfId="1" applyNumberFormat="1" applyFont="1" applyFill="1" applyProtection="1">
      <protection locked="0"/>
    </xf>
    <xf numFmtId="0" fontId="4" fillId="25" borderId="0" xfId="0" applyFont="1" applyFill="1"/>
    <xf numFmtId="165" fontId="4" fillId="9" borderId="2" xfId="1" applyNumberFormat="1" applyFont="1" applyFill="1" applyBorder="1" applyProtection="1"/>
    <xf numFmtId="175" fontId="4" fillId="9" borderId="0" xfId="1" applyNumberFormat="1" applyFont="1" applyFill="1" applyBorder="1" applyProtection="1"/>
    <xf numFmtId="175" fontId="4" fillId="18" borderId="0" xfId="1" applyNumberFormat="1" applyFont="1" applyFill="1" applyBorder="1" applyProtection="1"/>
    <xf numFmtId="0" fontId="4" fillId="22" borderId="0" xfId="0" applyFont="1" applyFill="1"/>
    <xf numFmtId="0" fontId="0" fillId="0" borderId="2" xfId="0" applyBorder="1" applyAlignment="1">
      <alignment textRotation="90" wrapText="1"/>
    </xf>
    <xf numFmtId="0" fontId="2" fillId="0" borderId="27" xfId="0" applyFont="1" applyBorder="1" applyAlignment="1">
      <alignment wrapText="1"/>
    </xf>
    <xf numFmtId="0" fontId="16" fillId="0" borderId="7" xfId="0" applyFont="1" applyBorder="1" applyAlignment="1">
      <alignment horizontal="center"/>
    </xf>
    <xf numFmtId="0" fontId="16" fillId="0" borderId="9" xfId="0" applyFont="1" applyBorder="1" applyAlignment="1">
      <alignment horizontal="center"/>
    </xf>
    <xf numFmtId="0" fontId="4" fillId="7" borderId="0" xfId="0" applyFont="1" applyFill="1" applyAlignment="1" applyProtection="1">
      <alignment horizontal="left" vertical="top" wrapText="1"/>
      <protection locked="0"/>
    </xf>
    <xf numFmtId="0" fontId="0" fillId="7" borderId="0" xfId="0" applyFill="1" applyAlignment="1" applyProtection="1">
      <alignment horizontal="left"/>
      <protection locked="0"/>
    </xf>
    <xf numFmtId="0" fontId="16" fillId="0" borderId="2" xfId="0" applyFont="1" applyBorder="1" applyAlignment="1">
      <alignment horizontal="left" vertical="top" wrapText="1"/>
    </xf>
    <xf numFmtId="0" fontId="16" fillId="0" borderId="0" xfId="0" applyFont="1" applyAlignment="1">
      <alignment horizontal="left" vertical="top" wrapText="1"/>
    </xf>
    <xf numFmtId="0" fontId="16" fillId="0" borderId="1" xfId="0" applyFont="1" applyBorder="1" applyAlignment="1">
      <alignment horizontal="left" vertical="top" wrapText="1"/>
    </xf>
    <xf numFmtId="0" fontId="4" fillId="7" borderId="0" xfId="0" applyFont="1" applyFill="1" applyAlignment="1" applyProtection="1">
      <alignment horizontal="left"/>
      <protection locked="0"/>
    </xf>
    <xf numFmtId="0" fontId="2" fillId="0" borderId="0" xfId="0" applyFont="1" applyAlignment="1">
      <alignment horizontal="left" vertical="top" wrapText="1"/>
    </xf>
    <xf numFmtId="0" fontId="2" fillId="0" borderId="2" xfId="0" applyFont="1" applyBorder="1" applyAlignment="1">
      <alignment horizontal="left" vertical="top" wrapText="1"/>
    </xf>
    <xf numFmtId="0" fontId="2" fillId="0" borderId="1" xfId="0" applyFont="1" applyBorder="1" applyAlignment="1">
      <alignment horizontal="left" vertical="top" wrapText="1"/>
    </xf>
    <xf numFmtId="0" fontId="3" fillId="0" borderId="0" xfId="0" applyFont="1" applyAlignment="1">
      <alignment horizontal="right" vertical="top" wrapText="1"/>
    </xf>
    <xf numFmtId="0" fontId="4" fillId="8" borderId="0" xfId="0" quotePrefix="1" applyFont="1" applyFill="1" applyAlignment="1">
      <alignment horizontal="left"/>
    </xf>
    <xf numFmtId="0" fontId="11" fillId="13" borderId="0" xfId="0" quotePrefix="1" applyFont="1" applyFill="1" applyAlignment="1">
      <alignment horizontal="left"/>
    </xf>
    <xf numFmtId="0" fontId="2" fillId="0" borderId="19" xfId="0" applyFont="1" applyBorder="1" applyAlignment="1">
      <alignment horizontal="center"/>
    </xf>
    <xf numFmtId="165" fontId="2" fillId="0" borderId="19" xfId="1" applyNumberFormat="1" applyFont="1" applyFill="1" applyBorder="1" applyAlignment="1">
      <alignment horizontal="center" wrapText="1"/>
    </xf>
    <xf numFmtId="0" fontId="4" fillId="3" borderId="0" xfId="0" quotePrefix="1" applyFont="1" applyFill="1" applyAlignment="1">
      <alignment horizontal="left"/>
    </xf>
    <xf numFmtId="0" fontId="0" fillId="20" borderId="0" xfId="0" quotePrefix="1" applyFill="1" applyAlignment="1">
      <alignment horizontal="left" wrapText="1"/>
    </xf>
    <xf numFmtId="0" fontId="0" fillId="0" borderId="0" xfId="0" quotePrefix="1" applyAlignment="1">
      <alignment horizontal="left" wrapText="1"/>
    </xf>
    <xf numFmtId="0" fontId="42" fillId="0" borderId="0" xfId="0" applyFont="1" applyAlignment="1">
      <alignment horizontal="left"/>
    </xf>
    <xf numFmtId="165" fontId="2" fillId="0" borderId="2" xfId="1" applyNumberFormat="1" applyFont="1" applyFill="1" applyBorder="1" applyAlignment="1">
      <alignment horizontal="center"/>
    </xf>
    <xf numFmtId="165" fontId="2" fillId="0" borderId="19" xfId="1" applyNumberFormat="1" applyFont="1" applyFill="1" applyBorder="1" applyAlignment="1">
      <alignment horizontal="center"/>
    </xf>
    <xf numFmtId="43" fontId="3" fillId="0" borderId="0" xfId="1" applyFont="1" applyFill="1" applyAlignment="1" applyProtection="1">
      <alignment horizontal="right" vertical="top" wrapText="1"/>
    </xf>
    <xf numFmtId="0" fontId="20" fillId="24" borderId="0" xfId="0" applyFont="1" applyFill="1" applyAlignment="1">
      <alignment horizontal="left" vertical="top" wrapText="1"/>
    </xf>
    <xf numFmtId="0" fontId="0" fillId="0" borderId="0" xfId="1" quotePrefix="1" applyNumberFormat="1" applyFont="1" applyFill="1" applyAlignment="1" applyProtection="1">
      <alignment horizontal="left"/>
    </xf>
    <xf numFmtId="0" fontId="2" fillId="0" borderId="26" xfId="0" applyFont="1" applyBorder="1" applyAlignment="1">
      <alignment horizontal="left" vertical="top" wrapText="1"/>
    </xf>
    <xf numFmtId="0" fontId="18" fillId="13" borderId="0" xfId="0" applyFont="1" applyFill="1" applyAlignment="1">
      <alignment horizontal="left" vertical="top" wrapText="1"/>
    </xf>
    <xf numFmtId="0" fontId="13" fillId="0" borderId="0" xfId="3" quotePrefix="1" applyNumberFormat="1" applyFill="1" applyAlignment="1" applyProtection="1">
      <alignment horizontal="left" vertical="top" wrapText="1"/>
    </xf>
    <xf numFmtId="0" fontId="42" fillId="0" borderId="0" xfId="0" applyFont="1" applyAlignment="1">
      <alignment horizontal="left" vertical="top"/>
    </xf>
    <xf numFmtId="0" fontId="4" fillId="8" borderId="0" xfId="1" quotePrefix="1" applyNumberFormat="1" applyFont="1" applyFill="1" applyAlignment="1">
      <alignment horizontal="left" vertical="top" wrapText="1"/>
    </xf>
    <xf numFmtId="0" fontId="4" fillId="3" borderId="0" xfId="1" quotePrefix="1" applyNumberFormat="1" applyFont="1" applyFill="1" applyAlignment="1">
      <alignment horizontal="left" vertical="top" wrapText="1"/>
    </xf>
    <xf numFmtId="0" fontId="36" fillId="7" borderId="7" xfId="0" applyFont="1" applyFill="1" applyBorder="1" applyAlignment="1">
      <alignment horizontal="left" vertical="center"/>
    </xf>
    <xf numFmtId="0" fontId="36" fillId="7" borderId="8" xfId="0" applyFont="1" applyFill="1" applyBorder="1" applyAlignment="1">
      <alignment horizontal="left" vertical="center"/>
    </xf>
    <xf numFmtId="0" fontId="5" fillId="3" borderId="0" xfId="0" applyFont="1" applyFill="1" applyAlignment="1">
      <alignment horizontal="center"/>
    </xf>
    <xf numFmtId="0" fontId="26" fillId="18" borderId="0" xfId="0" applyFont="1" applyFill="1" applyAlignment="1">
      <alignment horizontal="left"/>
    </xf>
    <xf numFmtId="0" fontId="3" fillId="19" borderId="0" xfId="0" applyFont="1" applyFill="1" applyAlignment="1">
      <alignment horizontal="left"/>
    </xf>
    <xf numFmtId="0" fontId="26" fillId="20" borderId="0" xfId="0" applyFont="1" applyFill="1" applyAlignment="1">
      <alignment horizontal="left"/>
    </xf>
    <xf numFmtId="0" fontId="5" fillId="3" borderId="16" xfId="0" applyFont="1" applyFill="1" applyBorder="1" applyAlignment="1">
      <alignment horizontal="center"/>
    </xf>
    <xf numFmtId="0" fontId="18" fillId="13" borderId="0" xfId="0" applyFont="1" applyFill="1" applyAlignment="1">
      <alignment horizontal="left" wrapText="1"/>
    </xf>
    <xf numFmtId="0" fontId="2" fillId="8" borderId="0" xfId="0" applyFont="1" applyFill="1" applyAlignment="1">
      <alignment horizontal="left" vertical="top" wrapText="1"/>
    </xf>
    <xf numFmtId="0" fontId="2" fillId="10" borderId="0" xfId="0" applyFont="1" applyFill="1" applyAlignment="1">
      <alignment horizontal="left" vertical="top" wrapText="1"/>
    </xf>
    <xf numFmtId="0" fontId="2" fillId="9" borderId="0" xfId="0" applyFont="1" applyFill="1" applyAlignment="1">
      <alignment horizontal="left" vertical="top" wrapText="1"/>
    </xf>
    <xf numFmtId="0" fontId="2" fillId="10" borderId="2" xfId="0" applyFont="1" applyFill="1" applyBorder="1" applyAlignment="1">
      <alignment horizontal="left" vertical="top" wrapText="1"/>
    </xf>
    <xf numFmtId="0" fontId="2" fillId="10" borderId="1" xfId="0" applyFont="1" applyFill="1" applyBorder="1" applyAlignment="1">
      <alignment horizontal="left" vertical="top" wrapText="1"/>
    </xf>
    <xf numFmtId="0" fontId="2" fillId="9"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2" fillId="5" borderId="0" xfId="0" applyFont="1" applyFill="1" applyAlignment="1">
      <alignment horizontal="left" vertical="top" wrapText="1"/>
    </xf>
    <xf numFmtId="0" fontId="16" fillId="21" borderId="2" xfId="0" applyFont="1" applyFill="1" applyBorder="1" applyAlignment="1">
      <alignment horizontal="left" vertical="top"/>
    </xf>
    <xf numFmtId="0" fontId="16" fillId="21" borderId="0" xfId="0" applyFont="1" applyFill="1" applyAlignment="1">
      <alignment horizontal="left" vertical="top"/>
    </xf>
    <xf numFmtId="0" fontId="2" fillId="12" borderId="2" xfId="0" applyFont="1" applyFill="1" applyBorder="1" applyAlignment="1">
      <alignment horizontal="left" vertical="top" wrapText="1"/>
    </xf>
    <xf numFmtId="0" fontId="2" fillId="12" borderId="0" xfId="0" applyFont="1" applyFill="1" applyAlignment="1">
      <alignment horizontal="left" vertical="top" wrapText="1"/>
    </xf>
  </cellXfs>
  <cellStyles count="5">
    <cellStyle name="Comma" xfId="1" builtinId="3"/>
    <cellStyle name="Currency" xfId="4" builtinId="4"/>
    <cellStyle name="Hyperlink" xfId="3" builtinId="8"/>
    <cellStyle name="Normal" xfId="0" builtinId="0"/>
    <cellStyle name="Percent" xfId="2" builtinId="5"/>
  </cellStyles>
  <dxfs count="0"/>
  <tableStyles count="0" defaultTableStyle="TableStyleMedium2" defaultPivotStyle="PivotStyleLight16"/>
  <colors>
    <mruColors>
      <color rgb="FFEFF9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microsoft.com/office/2006/relationships/vbaProject" Target="vbaProject.bin"/><Relationship Id="rId5" Type="http://schemas.openxmlformats.org/officeDocument/2006/relationships/worksheet" Target="worksheets/sheet5.xml"/><Relationship Id="rId15" Type="http://schemas.microsoft.com/office/2022/10/relationships/richValueRel" Target="richData/richValueRel.xml"/><Relationship Id="rId23" Type="http://schemas.openxmlformats.org/officeDocument/2006/relationships/customXml" Target="../customXml/item3.xml"/><Relationship Id="rId10" Type="http://schemas.openxmlformats.org/officeDocument/2006/relationships/externalLink" Target="externalLinks/externalLink1.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 Id="rId22" Type="http://schemas.openxmlformats.org/officeDocument/2006/relationships/customXml" Target="../customXml/item2.xml"/></Relationships>
</file>

<file path=xl/documenttasks/documenttask1.xml><?xml version="1.0" encoding="utf-8"?>
<Tasks xmlns="http://schemas.microsoft.com/office/tasks/2019/documenttasks">
  <Task id="{DBE8835F-9CDA-442F-959D-9668EBEC6A8F}">
    <Anchor>
      <Comment id="{8DE6FAAE-F4A0-4267-9E16-9DAB7934AD7C}"/>
    </Anchor>
    <History>
      <Event time="2025-11-10T01:08:31.18" id="{3B821D27-EBCA-497A-A178-D57095AAF405}">
        <Attribution userId="S::Sophal.Chhun@boprc.govt.nz::d2330031-2951-4e6d-931b-2a2e58eaaf88" userName="Sophal Chhun" userProvider="AD"/>
        <Anchor>
          <Comment id="{8DE6FAAE-F4A0-4267-9E16-9DAB7934AD7C}"/>
        </Anchor>
        <Create/>
      </Event>
      <Event time="2025-11-10T01:08:31.18" id="{5EC8CC52-4B78-46A3-BFEE-0930BA15A63F}">
        <Attribution userId="S::Sophal.Chhun@boprc.govt.nz::d2330031-2951-4e6d-931b-2a2e58eaaf88" userName="Sophal Chhun" userProvider="AD"/>
        <Anchor>
          <Comment id="{8DE6FAAE-F4A0-4267-9E16-9DAB7934AD7C}"/>
        </Anchor>
        <Assign userId="S::Rebecca.Lepa@boprc.govt.nz::7a0ff44a-a3c6-4f93-8037-d34616c25b1f" userName="Rebecca Lepa" userProvider="AD"/>
      </Event>
      <Event time="2025-11-10T01:08:31.18" id="{495E0EFC-23F7-4E09-B399-B15B21160E14}">
        <Attribution userId="S::Sophal.Chhun@boprc.govt.nz::d2330031-2951-4e6d-931b-2a2e58eaaf88" userName="Sophal Chhun" userProvider="AD"/>
        <Anchor>
          <Comment id="{8DE6FAAE-F4A0-4267-9E16-9DAB7934AD7C}"/>
        </Anchor>
        <SetTitle title="@Rebecca Lepa The description of the scoring sounds ok, but can you please add a brief explanation of each term?"/>
      </Event>
      <Event time="2026-05-11T02:27:03.26" id="{255D73EC-B736-4891-B340-547C0E6D9447}">
        <Attribution userId="S::Rebecca.Lepa@boprc.govt.nz::7a0ff44a-a3c6-4f93-8037-d34616c25b1f" userName="Rebecca Lepa" userProvider="AD"/>
        <Progress percentComplete="100"/>
      </Event>
    </History>
  </Task>
  <Task id="{388DB1B7-FDD0-4C7D-BA73-38D661791748}">
    <Anchor>
      <Comment id="{8922495D-75E7-4510-9A24-8D9F3972D6C0}"/>
    </Anchor>
    <History>
      <Event time="2025-11-04T21:55:11.61" id="{A4ACB0FD-3D6F-4B3F-A8CE-E3EB791D2F35}">
        <Attribution userId="S::Sophal.Chhun@boprc.govt.nz::d2330031-2951-4e6d-931b-2a2e58eaaf88" userName="Sophal Chhun" userProvider="AD"/>
        <Anchor>
          <Comment id="{8922495D-75E7-4510-9A24-8D9F3972D6C0}"/>
        </Anchor>
        <Create/>
      </Event>
      <Event time="2025-11-04T21:55:11.61" id="{BCD7E2EC-03D5-43BF-B96A-4E15C68D80C6}">
        <Attribution userId="S::Sophal.Chhun@boprc.govt.nz::d2330031-2951-4e6d-931b-2a2e58eaaf88" userName="Sophal Chhun" userProvider="AD"/>
        <Anchor>
          <Comment id="{8922495D-75E7-4510-9A24-8D9F3972D6C0}"/>
        </Anchor>
        <Assign userId="S::Gemma.Moleta@boprc.govt.nz::22d651b7-0273-4ec6-a8cd-2e66aaf0fe71" userName="Gemma Moleta" userProvider="AD"/>
      </Event>
      <Event time="2025-11-04T21:55:11.61" id="{449D6F5F-5147-423B-9D4A-9332C47BFEFF}">
        <Attribution userId="S::Sophal.Chhun@boprc.govt.nz::d2330031-2951-4e6d-931b-2a2e58eaaf88" userName="Sophal Chhun" userProvider="AD"/>
        <Anchor>
          <Comment id="{8922495D-75E7-4510-9A24-8D9F3972D6C0}"/>
        </Anchor>
        <SetTitle title="@Gemma Moleta please help check if this captures your considerations"/>
      </Event>
      <Event time="2025-11-09T23:36:39.41" id="{52A44899-39DA-4021-88F4-8DDD8B00B041}">
        <Attribution userId="S::Sophal.Chhun@boprc.govt.nz::d2330031-2951-4e6d-931b-2a2e58eaaf88" userName="Sophal Chhun" userProvider="AD"/>
        <Progress percentComplete="100"/>
      </Event>
      <Event time="2025-11-10T19:17:09.08" id="{AFAFD881-0D77-414F-88E6-1C4CA45B86E5}">
        <Attribution userId="S::Gemma.Moleta@boprc.govt.nz::22d651b7-0273-4ec6-a8cd-2e66aaf0fe71" userName="Gemma Moleta" userProvider="AD"/>
        <Progress percentComplete="0"/>
      </Event>
      <Event time="2025-11-10T19:21:39.26" id="{41277895-965B-4024-BC28-F79C41DA3785}">
        <Attribution userId="S::Gemma.Moleta@boprc.govt.nz::22d651b7-0273-4ec6-a8cd-2e66aaf0fe71" userName="Gemma Moleta" userProvider="AD"/>
        <Progress percentComplete="100"/>
      </Event>
    </History>
  </Task>
  <Task id="{ECB44CCC-5477-48A2-8776-3761167B943B}">
    <Anchor>
      <Comment id="{7BA1A53F-3532-4DFF-92E0-FF3D39737166}"/>
    </Anchor>
    <History>
      <Event time="2025-11-03T23:15:18.90" id="{C82110B4-E2DE-48DE-8E4B-83F11FBC819B}">
        <Attribution userId="S::Sophal.Chhun@boprc.govt.nz::d2330031-2951-4e6d-931b-2a2e58eaaf88" userName="Sophal Chhun" userProvider="AD"/>
        <Anchor>
          <Comment id="{7BA1A53F-3532-4DFF-92E0-FF3D39737166}"/>
        </Anchor>
        <Create/>
      </Event>
      <Event time="2025-11-03T23:15:18.90" id="{07E9D1EA-60A8-4542-9C22-C32DCCF2D82D}">
        <Attribution userId="S::Sophal.Chhun@boprc.govt.nz::d2330031-2951-4e6d-931b-2a2e58eaaf88" userName="Sophal Chhun" userProvider="AD"/>
        <Anchor>
          <Comment id="{7BA1A53F-3532-4DFF-92E0-FF3D39737166}"/>
        </Anchor>
        <Assign userId="S::Paul.Scholes@boprc.govt.nz::7ce130b8-15b1-4acd-af7e-e704ae96ac91" userName="Paul Scholes" userProvider="AD"/>
      </Event>
      <Event time="2025-11-03T23:15:18.90" id="{F3F20F6A-D006-46F6-9065-3950612A199E}">
        <Attribution userId="S::Sophal.Chhun@boprc.govt.nz::d2330031-2951-4e6d-931b-2a2e58eaaf88" userName="Sophal Chhun" userProvider="AD"/>
        <Anchor>
          <Comment id="{7BA1A53F-3532-4DFF-92E0-FF3D39737166}"/>
        </Anchor>
        <SetTitle title="@Paul Scholes please help check the description of the environmental indicators"/>
      </Event>
    </History>
  </Task>
</Tasks>
</file>

<file path=xl/documenttasks/documenttask2.xml><?xml version="1.0" encoding="utf-8"?>
<Tasks xmlns="http://schemas.microsoft.com/office/tasks/2019/documenttasks">
  <Task id="{16119C9D-2943-4C25-AC36-3706E3E18F6D}">
    <Anchor>
      <Comment id="{66CF0E42-530D-4E58-B4BF-E89C5667A0E6}"/>
    </Anchor>
    <History>
      <Event time="2025-11-24T20:25:31.21" id="{EFE7B782-4891-422D-A9EA-784B29DFAE4C}">
        <Attribution userId="S::Sophal.Chhun@boprc.govt.nz::d2330031-2951-4e6d-931b-2a2e58eaaf88" userName="Sophal Chhun" userProvider="AD"/>
        <Anchor>
          <Comment id="{66CF0E42-530D-4E58-B4BF-E89C5667A0E6}"/>
        </Anchor>
        <Create/>
      </Event>
      <Event time="2025-11-24T20:25:31.21" id="{E10109BE-371F-49FE-B9AA-025C1CCF73E6}">
        <Attribution userId="S::Sophal.Chhun@boprc.govt.nz::d2330031-2951-4e6d-931b-2a2e58eaaf88" userName="Sophal Chhun" userProvider="AD"/>
        <Anchor>
          <Comment id="{66CF0E42-530D-4E58-B4BF-E89C5667A0E6}"/>
        </Anchor>
        <Assign userId="S::Santiago.Bermeo@boprc.govt.nz::519d4066-76b7-4a9d-b5af-35ba74a169d8" userName="Santiago Bermeo" userProvider="AD"/>
      </Event>
      <Event time="2025-11-24T20:25:31.21" id="{488618D7-5F6D-42A4-870F-8AB6D63F47E2}">
        <Attribution userId="S::Sophal.Chhun@boprc.govt.nz::d2330031-2951-4e6d-931b-2a2e58eaaf88" userName="Sophal Chhun" userProvider="AD"/>
        <Anchor>
          <Comment id="{66CF0E42-530D-4E58-B4BF-E89C5667A0E6}"/>
        </Anchor>
        <SetTitle title="@Santiago Bermeo @Jackson Efford @Gemma Moleta @Paul Scholes @Alastair Suren @Rebecca Lepa @Glenys Kroon Please list below works that you were based on when assessing each indicator"/>
      </Event>
    </History>
  </Task>
</Tasks>
</file>

<file path=xl/drawings/_rels/drawing1.xml.rels><?xml version="1.0" encoding="UTF-8" standalone="yes"?>
<Relationships xmlns="http://schemas.openxmlformats.org/package/2006/relationships"><Relationship Id="rId1" Type="http://schemas.openxmlformats.org/officeDocument/2006/relationships/hyperlink" Target="#Scenario!A1"/></Relationships>
</file>

<file path=xl/drawings/_rels/drawing3.xml.rels><?xml version="1.0" encoding="UTF-8" standalone="yes"?>
<Relationships xmlns="http://schemas.openxmlformats.org/package/2006/relationships"><Relationship Id="rId1" Type="http://schemas.openxmlformats.org/officeDocument/2006/relationships/hyperlink" Target="#Results!A1"/></Relationships>
</file>

<file path=xl/drawings/_rels/drawing4.xml.rels><?xml version="1.0" encoding="UTF-8" standalone="yes"?>
<Relationships xmlns="http://schemas.openxmlformats.org/package/2006/relationships"><Relationship Id="rId3" Type="http://schemas.openxmlformats.org/officeDocument/2006/relationships/hyperlink" Target="#Inputs!A1"/><Relationship Id="rId7" Type="http://schemas.openxmlformats.org/officeDocument/2006/relationships/image" Target="../media/image26.png"/><Relationship Id="rId2" Type="http://schemas.openxmlformats.org/officeDocument/2006/relationships/hyperlink" Target="#Scenario!A1"/><Relationship Id="rId1" Type="http://schemas.openxmlformats.org/officeDocument/2006/relationships/hyperlink" Target="#Introduction!A1"/><Relationship Id="rId6" Type="http://schemas.openxmlformats.org/officeDocument/2006/relationships/image" Target="../media/image25.png"/><Relationship Id="rId5" Type="http://schemas.openxmlformats.org/officeDocument/2006/relationships/image" Target="../media/image24.png"/><Relationship Id="rId4" Type="http://schemas.openxmlformats.org/officeDocument/2006/relationships/image" Target="../media/image23.png"/></Relationships>
</file>

<file path=xl/drawings/_rels/drawing5.xml.rels><?xml version="1.0" encoding="UTF-8" standalone="yes"?>
<Relationships xmlns="http://schemas.openxmlformats.org/package/2006/relationships"><Relationship Id="rId1"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xdr:from>
      <xdr:col>0</xdr:col>
      <xdr:colOff>6591300</xdr:colOff>
      <xdr:row>26</xdr:row>
      <xdr:rowOff>95250</xdr:rowOff>
    </xdr:from>
    <xdr:to>
      <xdr:col>0</xdr:col>
      <xdr:colOff>7934325</xdr:colOff>
      <xdr:row>30</xdr:row>
      <xdr:rowOff>114300</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BE1ADFCD-C3A9-A0F4-4E28-EEF01E25CBA1}"/>
            </a:ext>
          </a:extLst>
        </xdr:cNvPr>
        <xdr:cNvSpPr/>
      </xdr:nvSpPr>
      <xdr:spPr>
        <a:xfrm>
          <a:off x="6591300" y="6867525"/>
          <a:ext cx="1343025" cy="78105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NZ" sz="1600" b="1" kern="1200"/>
            <a:t>Get started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39</xdr:row>
      <xdr:rowOff>28575</xdr:rowOff>
    </xdr:from>
    <xdr:to>
      <xdr:col>1</xdr:col>
      <xdr:colOff>1099050</xdr:colOff>
      <xdr:row>42</xdr:row>
      <xdr:rowOff>177075</xdr:rowOff>
    </xdr:to>
    <xdr:sp macro="[0]!ScenarioGoToNext" textlink="">
      <xdr:nvSpPr>
        <xdr:cNvPr id="13" name="Arrow: Right 1">
          <a:extLst>
            <a:ext uri="{FF2B5EF4-FFF2-40B4-BE49-F238E27FC236}">
              <a16:creationId xmlns:a16="http://schemas.microsoft.com/office/drawing/2014/main" id="{9BB553A9-2F79-4480-A010-A49D9BDBC7E1}"/>
            </a:ext>
          </a:extLst>
        </xdr:cNvPr>
        <xdr:cNvSpPr/>
      </xdr:nvSpPr>
      <xdr:spPr>
        <a:xfrm>
          <a:off x="466725" y="7362825"/>
          <a:ext cx="1080000" cy="7200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NZ" sz="1600" b="1" kern="1200"/>
            <a:t>Next</a:t>
          </a:r>
        </a:p>
      </xdr:txBody>
    </xdr:sp>
    <xdr:clientData/>
  </xdr:twoCellAnchor>
  <xdr:twoCellAnchor>
    <xdr:from>
      <xdr:col>8</xdr:col>
      <xdr:colOff>205154</xdr:colOff>
      <xdr:row>0</xdr:row>
      <xdr:rowOff>168521</xdr:rowOff>
    </xdr:from>
    <xdr:to>
      <xdr:col>10</xdr:col>
      <xdr:colOff>248383</xdr:colOff>
      <xdr:row>2</xdr:row>
      <xdr:rowOff>135794</xdr:rowOff>
    </xdr:to>
    <xdr:sp macro="[0]!ResetScenarioData" textlink="">
      <xdr:nvSpPr>
        <xdr:cNvPr id="2" name="Rectangle: Rounded Corners 1">
          <a:extLst>
            <a:ext uri="{FF2B5EF4-FFF2-40B4-BE49-F238E27FC236}">
              <a16:creationId xmlns:a16="http://schemas.microsoft.com/office/drawing/2014/main" id="{69FD4573-1B8B-4ADF-8DD5-3B3B91145D9C}"/>
            </a:ext>
          </a:extLst>
        </xdr:cNvPr>
        <xdr:cNvSpPr/>
      </xdr:nvSpPr>
      <xdr:spPr>
        <a:xfrm>
          <a:off x="8367346" y="168521"/>
          <a:ext cx="981075" cy="450850"/>
        </a:xfrm>
        <a:prstGeom prst="roundRect">
          <a:avLst/>
        </a:prstGeom>
        <a:solidFill>
          <a:srgbClr val="156082"/>
        </a:solidFill>
        <a:ln w="19050" cap="flat" cmpd="sng" algn="ctr">
          <a:solidFill>
            <a:srgbClr val="156082">
              <a:shade val="15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NZ" sz="2000" b="1" i="0" u="none" strike="noStrike" kern="1200" cap="none" spc="0" normalizeH="0" baseline="0" noProof="0">
              <a:ln>
                <a:noFill/>
              </a:ln>
              <a:solidFill>
                <a:sysClr val="window" lastClr="FFFFFF"/>
              </a:solidFill>
              <a:effectLst/>
              <a:uLnTx/>
              <a:uFillTx/>
              <a:latin typeface="Aptos Narrow" panose="02110004020202020204"/>
              <a:ea typeface="+mn-ea"/>
              <a:cs typeface="+mn-cs"/>
            </a:rPr>
            <a:t>Reset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19050</xdr:colOff>
      <xdr:row>37</xdr:row>
      <xdr:rowOff>28575</xdr:rowOff>
    </xdr:from>
    <xdr:to>
      <xdr:col>2</xdr:col>
      <xdr:colOff>117975</xdr:colOff>
      <xdr:row>41</xdr:row>
      <xdr:rowOff>177075</xdr:rowOff>
    </xdr:to>
    <xdr:sp macro="" textlink="">
      <xdr:nvSpPr>
        <xdr:cNvPr id="24" name="Arrow: Right 1">
          <a:hlinkClick xmlns:r="http://schemas.openxmlformats.org/officeDocument/2006/relationships" r:id="rId1"/>
          <a:extLst>
            <a:ext uri="{FF2B5EF4-FFF2-40B4-BE49-F238E27FC236}">
              <a16:creationId xmlns:a16="http://schemas.microsoft.com/office/drawing/2014/main" id="{4ED00E56-3DE6-4B44-AFD5-4280034BD68C}"/>
            </a:ext>
          </a:extLst>
        </xdr:cNvPr>
        <xdr:cNvSpPr/>
      </xdr:nvSpPr>
      <xdr:spPr>
        <a:xfrm>
          <a:off x="485775" y="9496425"/>
          <a:ext cx="1080000" cy="7200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NZ" sz="1600" b="1" kern="1200" baseline="0"/>
            <a:t>Next</a:t>
          </a:r>
          <a:endParaRPr lang="en-NZ" sz="1600" b="1" kern="1200"/>
        </a:p>
      </xdr:txBody>
    </xdr:sp>
    <xdr:clientData/>
  </xdr:twoCellAnchor>
  <xdr:twoCellAnchor>
    <xdr:from>
      <xdr:col>8</xdr:col>
      <xdr:colOff>282575</xdr:colOff>
      <xdr:row>0</xdr:row>
      <xdr:rowOff>187326</xdr:rowOff>
    </xdr:from>
    <xdr:to>
      <xdr:col>10</xdr:col>
      <xdr:colOff>25400</xdr:colOff>
      <xdr:row>1</xdr:row>
      <xdr:rowOff>133351</xdr:rowOff>
    </xdr:to>
    <xdr:sp macro="[0]!ResetInputData" textlink="">
      <xdr:nvSpPr>
        <xdr:cNvPr id="2" name="Rectangle: Rounded Corners 1">
          <a:extLst>
            <a:ext uri="{FF2B5EF4-FFF2-40B4-BE49-F238E27FC236}">
              <a16:creationId xmlns:a16="http://schemas.microsoft.com/office/drawing/2014/main" id="{567B07EB-183F-5B11-0828-2ECA340F660A}"/>
            </a:ext>
          </a:extLst>
        </xdr:cNvPr>
        <xdr:cNvSpPr/>
      </xdr:nvSpPr>
      <xdr:spPr>
        <a:xfrm>
          <a:off x="9255125" y="187326"/>
          <a:ext cx="1038225" cy="4508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NZ" sz="2000" b="1" kern="1200"/>
            <a:t>Reset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0</xdr:colOff>
      <xdr:row>0</xdr:row>
      <xdr:rowOff>0</xdr:rowOff>
    </xdr:from>
    <xdr:to>
      <xdr:col>20</xdr:col>
      <xdr:colOff>1036</xdr:colOff>
      <xdr:row>2</xdr:row>
      <xdr:rowOff>0</xdr:rowOff>
    </xdr:to>
    <xdr:sp macro="" textlink="">
      <xdr:nvSpPr>
        <xdr:cNvPr id="3" name="shpHome">
          <a:hlinkClick xmlns:r="http://schemas.openxmlformats.org/officeDocument/2006/relationships" r:id="rId1" tooltip="Go to 'Welcome'"/>
          <a:extLst>
            <a:ext uri="{FF2B5EF4-FFF2-40B4-BE49-F238E27FC236}">
              <a16:creationId xmlns:a16="http://schemas.microsoft.com/office/drawing/2014/main" id="{F2FA1303-52E0-426C-B011-52C2A3E71EF7}"/>
            </a:ext>
          </a:extLst>
        </xdr:cNvPr>
        <xdr:cNvSpPr/>
      </xdr:nvSpPr>
      <xdr:spPr>
        <a:xfrm>
          <a:off x="8978348" y="0"/>
          <a:ext cx="1214438" cy="43815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100"/>
            <a:t>Home</a:t>
          </a:r>
        </a:p>
      </xdr:txBody>
    </xdr:sp>
    <xdr:clientData/>
  </xdr:twoCellAnchor>
  <xdr:twoCellAnchor>
    <xdr:from>
      <xdr:col>17</xdr:col>
      <xdr:colOff>25977</xdr:colOff>
      <xdr:row>8</xdr:row>
      <xdr:rowOff>138545</xdr:rowOff>
    </xdr:from>
    <xdr:to>
      <xdr:col>20</xdr:col>
      <xdr:colOff>1704</xdr:colOff>
      <xdr:row>15</xdr:row>
      <xdr:rowOff>86590</xdr:rowOff>
    </xdr:to>
    <xdr:sp macro="" textlink="">
      <xdr:nvSpPr>
        <xdr:cNvPr id="76" name="Arrow: Left 5">
          <a:hlinkClick xmlns:r="http://schemas.openxmlformats.org/officeDocument/2006/relationships" r:id="rId2"/>
          <a:extLst>
            <a:ext uri="{FF2B5EF4-FFF2-40B4-BE49-F238E27FC236}">
              <a16:creationId xmlns:a16="http://schemas.microsoft.com/office/drawing/2014/main" id="{39E960FD-6C51-2885-C09F-4FDEC25E1A78}"/>
            </a:ext>
          </a:extLst>
        </xdr:cNvPr>
        <xdr:cNvSpPr/>
      </xdr:nvSpPr>
      <xdr:spPr>
        <a:xfrm>
          <a:off x="10616045" y="1982931"/>
          <a:ext cx="1188000" cy="109104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NZ" sz="1400" b="1" kern="1200"/>
            <a:t>Back to Scenario</a:t>
          </a:r>
        </a:p>
      </xdr:txBody>
    </xdr:sp>
    <xdr:clientData/>
  </xdr:twoCellAnchor>
  <xdr:twoCellAnchor>
    <xdr:from>
      <xdr:col>17</xdr:col>
      <xdr:colOff>25978</xdr:colOff>
      <xdr:row>3</xdr:row>
      <xdr:rowOff>34637</xdr:rowOff>
    </xdr:from>
    <xdr:to>
      <xdr:col>20</xdr:col>
      <xdr:colOff>1705</xdr:colOff>
      <xdr:row>8</xdr:row>
      <xdr:rowOff>84206</xdr:rowOff>
    </xdr:to>
    <xdr:sp macro="" textlink="">
      <xdr:nvSpPr>
        <xdr:cNvPr id="73" name="Arrow: Left 10">
          <a:hlinkClick xmlns:r="http://schemas.openxmlformats.org/officeDocument/2006/relationships" r:id="rId3"/>
          <a:extLst>
            <a:ext uri="{FF2B5EF4-FFF2-40B4-BE49-F238E27FC236}">
              <a16:creationId xmlns:a16="http://schemas.microsoft.com/office/drawing/2014/main" id="{B415AB35-32CD-45D9-90C1-C9DBF9043E19}"/>
            </a:ext>
          </a:extLst>
        </xdr:cNvPr>
        <xdr:cNvSpPr/>
      </xdr:nvSpPr>
      <xdr:spPr>
        <a:xfrm>
          <a:off x="10252364" y="848592"/>
          <a:ext cx="1188000" cy="108000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NZ" sz="1400" b="1" kern="1200"/>
            <a:t>Back to Inputs</a:t>
          </a:r>
        </a:p>
      </xdr:txBody>
    </xdr:sp>
    <xdr:clientData/>
  </xdr:twoCellAnchor>
  <xdr:twoCellAnchor editAs="oneCell">
    <xdr:from>
      <xdr:col>4</xdr:col>
      <xdr:colOff>371475</xdr:colOff>
      <xdr:row>11</xdr:row>
      <xdr:rowOff>76200</xdr:rowOff>
    </xdr:from>
    <xdr:to>
      <xdr:col>5</xdr:col>
      <xdr:colOff>124957</xdr:colOff>
      <xdr:row>20</xdr:row>
      <xdr:rowOff>161697</xdr:rowOff>
    </xdr:to>
    <xdr:pic>
      <xdr:nvPicPr>
        <xdr:cNvPr id="6" name="Picture 9">
          <a:extLst>
            <a:ext uri="{FF2B5EF4-FFF2-40B4-BE49-F238E27FC236}">
              <a16:creationId xmlns:a16="http://schemas.microsoft.com/office/drawing/2014/main" id="{F562AE9E-2E01-4367-A015-710FFE2788CC}"/>
            </a:ext>
          </a:extLst>
        </xdr:cNvPr>
        <xdr:cNvPicPr>
          <a:picLocks noChangeAspect="1"/>
        </xdr:cNvPicPr>
      </xdr:nvPicPr>
      <xdr:blipFill>
        <a:blip xmlns:r="http://schemas.openxmlformats.org/officeDocument/2006/relationships" r:embed="rId4" cstate="print">
          <a:alphaModFix amt="50000"/>
          <a:extLst>
            <a:ext uri="{28A0092B-C50C-407E-A947-70E740481C1C}">
              <a14:useLocalDpi xmlns:a14="http://schemas.microsoft.com/office/drawing/2010/main" val="0"/>
            </a:ext>
          </a:extLst>
        </a:blip>
        <a:srcRect/>
        <a:stretch/>
      </xdr:blipFill>
      <xdr:spPr>
        <a:xfrm>
          <a:off x="1247775" y="2409825"/>
          <a:ext cx="2144257" cy="1714272"/>
        </a:xfrm>
        <a:prstGeom prst="rect">
          <a:avLst/>
        </a:prstGeom>
      </xdr:spPr>
    </xdr:pic>
    <xdr:clientData/>
  </xdr:twoCellAnchor>
  <xdr:twoCellAnchor editAs="oneCell">
    <xdr:from>
      <xdr:col>5</xdr:col>
      <xdr:colOff>466725</xdr:colOff>
      <xdr:row>5</xdr:row>
      <xdr:rowOff>123825</xdr:rowOff>
    </xdr:from>
    <xdr:to>
      <xdr:col>5</xdr:col>
      <xdr:colOff>827745</xdr:colOff>
      <xdr:row>7</xdr:row>
      <xdr:rowOff>65652</xdr:rowOff>
    </xdr:to>
    <xdr:pic>
      <xdr:nvPicPr>
        <xdr:cNvPr id="8" name="Picture 1">
          <a:extLst>
            <a:ext uri="{FF2B5EF4-FFF2-40B4-BE49-F238E27FC236}">
              <a16:creationId xmlns:a16="http://schemas.microsoft.com/office/drawing/2014/main" id="{ED5705D8-0054-4F12-839F-7DD61A7636D4}"/>
            </a:ext>
          </a:extLst>
        </xdr:cNvPr>
        <xdr:cNvPicPr>
          <a:picLocks noChangeAspect="1"/>
        </xdr:cNvPicPr>
      </xdr:nvPicPr>
      <xdr:blipFill>
        <a:blip xmlns:r="http://schemas.openxmlformats.org/officeDocument/2006/relationships" r:embed="rId5" cstate="print">
          <a:alphaModFix amt="50000"/>
          <a:extLst>
            <a:ext uri="{28A0092B-C50C-407E-A947-70E740481C1C}">
              <a14:useLocalDpi xmlns:a14="http://schemas.microsoft.com/office/drawing/2010/main" val="0"/>
            </a:ext>
          </a:extLst>
        </a:blip>
        <a:srcRect/>
        <a:stretch/>
      </xdr:blipFill>
      <xdr:spPr>
        <a:xfrm>
          <a:off x="3448050" y="1390650"/>
          <a:ext cx="361020" cy="322827"/>
        </a:xfrm>
        <a:prstGeom prst="rect">
          <a:avLst/>
        </a:prstGeom>
      </xdr:spPr>
    </xdr:pic>
    <xdr:clientData/>
  </xdr:twoCellAnchor>
  <xdr:twoCellAnchor editAs="oneCell">
    <xdr:from>
      <xdr:col>10</xdr:col>
      <xdr:colOff>323850</xdr:colOff>
      <xdr:row>11</xdr:row>
      <xdr:rowOff>28575</xdr:rowOff>
    </xdr:from>
    <xdr:to>
      <xdr:col>10</xdr:col>
      <xdr:colOff>2265614</xdr:colOff>
      <xdr:row>21</xdr:row>
      <xdr:rowOff>55980</xdr:rowOff>
    </xdr:to>
    <xdr:pic>
      <xdr:nvPicPr>
        <xdr:cNvPr id="10" name="Picture 5">
          <a:extLst>
            <a:ext uri="{FF2B5EF4-FFF2-40B4-BE49-F238E27FC236}">
              <a16:creationId xmlns:a16="http://schemas.microsoft.com/office/drawing/2014/main" id="{C0F97853-205F-411D-89C0-3540BDF6A1F7}"/>
            </a:ext>
          </a:extLst>
        </xdr:cNvPr>
        <xdr:cNvPicPr>
          <a:picLocks noChangeAspect="1"/>
        </xdr:cNvPicPr>
      </xdr:nvPicPr>
      <xdr:blipFill>
        <a:blip xmlns:r="http://schemas.openxmlformats.org/officeDocument/2006/relationships" r:embed="rId6">
          <a:alphaModFix amt="50000"/>
          <a:extLst>
            <a:ext uri="{28A0092B-C50C-407E-A947-70E740481C1C}">
              <a14:useLocalDpi xmlns:a14="http://schemas.microsoft.com/office/drawing/2010/main" val="0"/>
            </a:ext>
          </a:extLst>
        </a:blip>
        <a:srcRect/>
        <a:stretch/>
      </xdr:blipFill>
      <xdr:spPr>
        <a:xfrm>
          <a:off x="5838825" y="2362200"/>
          <a:ext cx="1941764" cy="1837155"/>
        </a:xfrm>
        <a:prstGeom prst="rect">
          <a:avLst/>
        </a:prstGeom>
      </xdr:spPr>
    </xdr:pic>
    <xdr:clientData/>
  </xdr:twoCellAnchor>
  <xdr:twoCellAnchor editAs="oneCell">
    <xdr:from>
      <xdr:col>11</xdr:col>
      <xdr:colOff>514350</xdr:colOff>
      <xdr:row>5</xdr:row>
      <xdr:rowOff>104775</xdr:rowOff>
    </xdr:from>
    <xdr:to>
      <xdr:col>11</xdr:col>
      <xdr:colOff>797291</xdr:colOff>
      <xdr:row>7</xdr:row>
      <xdr:rowOff>12165</xdr:rowOff>
    </xdr:to>
    <xdr:pic>
      <xdr:nvPicPr>
        <xdr:cNvPr id="11" name="Picture 3">
          <a:extLst>
            <a:ext uri="{FF2B5EF4-FFF2-40B4-BE49-F238E27FC236}">
              <a16:creationId xmlns:a16="http://schemas.microsoft.com/office/drawing/2014/main" id="{1F5779CB-EE28-400A-994C-86ED095C8F8A}"/>
            </a:ext>
          </a:extLst>
        </xdr:cNvPr>
        <xdr:cNvPicPr>
          <a:picLocks noChangeAspect="1"/>
        </xdr:cNvPicPr>
      </xdr:nvPicPr>
      <xdr:blipFill>
        <a:blip xmlns:r="http://schemas.openxmlformats.org/officeDocument/2006/relationships" r:embed="rId7" cstate="print">
          <a:alphaModFix amt="50000"/>
          <a:extLst>
            <a:ext uri="{28A0092B-C50C-407E-A947-70E740481C1C}">
              <a14:useLocalDpi xmlns:a14="http://schemas.microsoft.com/office/drawing/2010/main" val="0"/>
            </a:ext>
          </a:extLst>
        </a:blip>
        <a:srcRect/>
        <a:stretch/>
      </xdr:blipFill>
      <xdr:spPr>
        <a:xfrm>
          <a:off x="7286625" y="1371600"/>
          <a:ext cx="282941" cy="28204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11</xdr:row>
      <xdr:rowOff>179916</xdr:rowOff>
    </xdr:from>
    <xdr:to>
      <xdr:col>4</xdr:col>
      <xdr:colOff>31751</xdr:colOff>
      <xdr:row>12</xdr:row>
      <xdr:rowOff>769995</xdr:rowOff>
    </xdr:to>
    <xdr:pic>
      <xdr:nvPicPr>
        <xdr:cNvPr id="6" name="Picture 5">
          <a:extLst>
            <a:ext uri="{FF2B5EF4-FFF2-40B4-BE49-F238E27FC236}">
              <a16:creationId xmlns:a16="http://schemas.microsoft.com/office/drawing/2014/main" id="{C28AFADD-2584-7401-5C72-8F200DF6D101}"/>
            </a:ext>
          </a:extLst>
        </xdr:cNvPr>
        <xdr:cNvPicPr>
          <a:picLocks noChangeAspect="1"/>
        </xdr:cNvPicPr>
      </xdr:nvPicPr>
      <xdr:blipFill>
        <a:blip xmlns:r="http://schemas.openxmlformats.org/officeDocument/2006/relationships" r:embed="rId1"/>
        <a:stretch>
          <a:fillRect/>
        </a:stretch>
      </xdr:blipFill>
      <xdr:spPr>
        <a:xfrm>
          <a:off x="275167" y="3249083"/>
          <a:ext cx="4646084" cy="1637829"/>
        </a:xfrm>
        <a:prstGeom prst="rect">
          <a:avLst/>
        </a:prstGeom>
        <a:solidFill>
          <a:schemeClr val="bg1"/>
        </a:solidFill>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boprc.sharepoint.com/sites/TeamNPSFMandRNRP/Shared%20Documents/23%20socio%20economic%20WS/Data,%20tools%20&amp;%20general%20assessment/LUCA%20(Land%20Use%20Change%20Assessor)/Original%20IIA%20Tool/Integrated%20Impact%20Assessment%20(IIA)%20Framework%20(Mar%202024)-Original.xlsm" TargetMode="External"/><Relationship Id="rId2" Type="http://schemas.microsoft.com/office/2019/04/relationships/externalLinkLongPath" Target="Original%20IIA%20Tool/Integrated%20Impact%20Assessment%20(IIA)%20Framework%20(Mar%202024)-Original.xlsm?98A150A1" TargetMode="External"/><Relationship Id="rId1" Type="http://schemas.openxmlformats.org/officeDocument/2006/relationships/externalLinkPath" Target="file:///\\98A150A1\Integrated%20Impact%20Assessment%20(IIA)%20Framework%20(Mar%202024)-Origin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Welcome"/>
      <sheetName val="Example Scenarios"/>
      <sheetName val="Quick Scenario"/>
      <sheetName val="Full Scenario"/>
      <sheetName val="Dashboard"/>
      <sheetName val="Dashboard (Detail)"/>
      <sheetName val="Results Data"/>
      <sheetName val="Custom Land Uses"/>
      <sheetName val="Inputs"/>
      <sheetName val="Scenario Auto-Describe"/>
      <sheetName val="Baseline Data"/>
      <sheetName val="Calcs &gt;"/>
      <sheetName val="by Land Use Ha"/>
      <sheetName val="Map LUC to IO"/>
      <sheetName val="Process IO"/>
      <sheetName val="by IO Table"/>
      <sheetName val="LU Charts"/>
      <sheetName val="by Scores"/>
      <sheetName val="Adjust Data"/>
      <sheetName val="Data &gt;"/>
      <sheetName val="New Zealand 2019"/>
      <sheetName val="Framework Notes"/>
      <sheetName val="Glossary"/>
      <sheetName val="Literature"/>
      <sheetName val="Scoring"/>
      <sheetName val="Change Log"/>
      <sheetName val="Qualifications"/>
      <sheetName val="Concordances"/>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sheetData sheetId="9" refreshError="1"/>
      <sheetData sheetId="10" refreshError="1"/>
      <sheetData sheetId="11" refreshError="1"/>
      <sheetData sheetId="12" refreshError="1"/>
      <sheetData sheetId="13" refreshError="1"/>
      <sheetData sheetId="14" refreshError="1"/>
      <sheetData sheetId="15"/>
      <sheetData sheetId="16" refreshError="1"/>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persons/person.xml><?xml version="1.0" encoding="utf-8"?>
<personList xmlns="http://schemas.microsoft.com/office/spreadsheetml/2018/threadedcomments" xmlns:x="http://schemas.openxmlformats.org/spreadsheetml/2006/main">
  <person displayName="Gemma Moleta" id="{E9D66F04-6CF0-4039-BEF2-8BEAB97D25CD}" userId="Gemma.Moleta@boprc.govt.nz" providerId="PeoplePicker"/>
  <person displayName="Glenys Kroon" id="{05FA468A-1529-4910-8A37-0CFF720F4D69}" userId="Glenys.Kroon@boprc.govt.nz" providerId="PeoplePicker"/>
  <person displayName="Paul Scholes" id="{C561E31F-287D-4BD8-A035-73CC7BF2A673}" userId="Paul.Scholes@boprc.govt.nz" providerId="PeoplePicker"/>
  <person displayName="Rebecca Lepa" id="{63F66463-0758-4A9B-9F1B-BE25D57A03C5}" userId="Rebecca.Lepa@boprc.govt.nz" providerId="PeoplePicker"/>
  <person displayName="Alastair Suren" id="{1F3AFA99-F27C-4C90-AA4D-E828F6CDA2C2}" userId="Alastair.Suren@boprc.govt.nz" providerId="PeoplePicker"/>
  <person displayName="Jackson Efford" id="{C51F1D01-5A78-41B3-AD74-DAA8ACBFE902}" userId="Jackson.Efford@boprc.govt.nz" providerId="PeoplePicker"/>
  <person displayName="Santiago Bermeo" id="{1FACA272-D100-478E-A688-EC60031549A4}" userId="Santiago.Bermeo@boprc.govt.nz" providerId="PeoplePicker"/>
  <person displayName="Sophal Chhun" id="{8B0A715E-8B12-4343-B99D-6F4AF5299E37}" userId="S::Sophal.Chhun@boprc.govt.nz::d2330031-2951-4e6d-931b-2a2e58eaaf88" providerId="AD"/>
  <person displayName="Gemma Moleta" id="{D2E033C7-7B0D-4694-A201-E0A66418B973}" userId="S::gemma.moleta@boprc.govt.nz::22d651b7-0273-4ec6-a8cd-2e66aaf0fe71" providerId="AD"/>
  <person displayName="Santiago Bermeo" id="{30A63F10-412C-44A3-AD93-F8A6722139DF}" userId="S::Santiago.Bermeo@boprc.govt.nz::519d4066-76b7-4a9d-b5af-35ba74a169d8"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2">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3" dT="2025-11-05T20:33:37.71" personId="{8B0A715E-8B12-4343-B99D-6F4AF5299E37}" id="{FFEAF88B-61DC-44A4-88C6-02AF7C52E5AB}">
    <text>Link to be added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4" dT="2025-11-24T21:35:01.83" personId="{8B0A715E-8B12-4343-B99D-6F4AF5299E37}" id="{FC3439FA-E377-40FE-9990-91BB72D02849}">
    <text>SEPP: Steep, erosion-prone pasture</text>
  </threadedComment>
  <threadedComment ref="B23" dT="2025-12-22T19:51:35.42" personId="{8B0A715E-8B12-4343-B99D-6F4AF5299E37}" id="{BA66393B-DF28-4884-B536-DEA2F4FDFE3F}">
    <text xml:space="preserve">Criteria to determine land areas that exhibit potential for kiwifruit include: LUC 1-3, areas with slope less than 7 degrees, non-forestry land, areas adjacent to existing kiwifruit. See more detail in Chhun et al. (2025, p. 30-31)  
</text>
    <extLst>
      <x:ext xmlns:xltc2="http://schemas.microsoft.com/office/spreadsheetml/2020/threadedcomments2" uri="{F7C98A9C-CBB3-438F-8F68-D28B6AF4A901}">
        <xltc2:checksum>2609167728</xltc2:checksum>
        <xltc2:hyperlink startIndex="202" length="29" url="https://atlas.boprc.govt.nz/api/v1/edms/document/A4899383/content"/>
      </x:ext>
    </extLst>
  </threadedComment>
</ThreadedComments>
</file>

<file path=xl/threadedComments/threadedComment3.xml><?xml version="1.0" encoding="utf-8"?>
<ThreadedComments xmlns="http://schemas.microsoft.com/office/spreadsheetml/2018/threadedcomments" xmlns:x="http://schemas.openxmlformats.org/spreadsheetml/2006/main">
  <threadedComment ref="A17" dT="2025-10-28T21:12:16.27" personId="{8B0A715E-8B12-4343-B99D-6F4AF5299E37}" id="{DB213A00-DA02-4103-B993-AEC5FBD98798}">
    <text>Split into plantation and permanent forestry</text>
  </threadedComment>
</ThreadedComments>
</file>

<file path=xl/threadedComments/threadedComment4.xml><?xml version="1.0" encoding="utf-8"?>
<ThreadedComments xmlns="http://schemas.microsoft.com/office/spreadsheetml/2018/threadedcomments" xmlns:x="http://schemas.openxmlformats.org/spreadsheetml/2006/main">
  <threadedComment ref="B9" dT="2025-11-03T23:15:18.90" personId="{8B0A715E-8B12-4343-B99D-6F4AF5299E37}" id="{7BA1A53F-3532-4DFF-92E0-FF3D39737166}">
    <text>@Paul Scholes @Alastair Suren please help check the description of the environmental indicators and if it captures your considerations</text>
    <mentions>
      <mention mentionpersonId="{C561E31F-287D-4BD8-A035-73CC7BF2A673}" mentionId="{B5D6FAA0-FC58-4E94-8ED8-1DFAB2634B77}" startIndex="0" length="13"/>
      <mention mentionpersonId="{1F3AFA99-F27C-4C90-AA4D-E828F6CDA2C2}" mentionId="{13BCC5F8-8A8B-47F9-85E7-9E8125B18A09}" startIndex="14" length="15"/>
    </mentions>
  </threadedComment>
  <threadedComment ref="C11" dT="2025-11-11T00:49:32.96" personId="{8B0A715E-8B12-4343-B99D-6F4AF5299E37}" id="{47813F3E-717F-4121-84D4-F03F58224B87}" done="1">
    <text>@Paul Scholes can you please give a description of this Sed loss indicator?</text>
    <mentions>
      <mention mentionpersonId="{C561E31F-287D-4BD8-A035-73CC7BF2A673}" mentionId="{F0B50D69-9302-489D-AEF9-AA2064D153CF}" startIndex="0" length="13"/>
    </mentions>
  </threadedComment>
  <threadedComment ref="D15" dT="2025-11-04T21:55:11.61" personId="{8B0A715E-8B12-4343-B99D-6F4AF5299E37}" id="{8922495D-75E7-4510-9A24-8D9F3972D6C0}" done="1">
    <text>@Gemma Moleta please help check if this captures your considerations</text>
    <mentions>
      <mention mentionpersonId="{E9D66F04-6CF0-4039-BEF2-8BEAB97D25CD}" mentionId="{1E4C02CE-1EE2-4A79-A8CC-CC4154AA0B1D}" startIndex="0" length="13"/>
    </mentions>
  </threadedComment>
  <threadedComment ref="D15" dT="2025-11-04T22:07:56.66" personId="{D2E033C7-7B0D-4694-A201-E0A66418B973}" id="{27CF45A4-4D48-4D35-AC06-CC2370336D48}" parentId="{8922495D-75E7-4510-9A24-8D9F3972D6C0}">
    <text>done</text>
  </threadedComment>
  <threadedComment ref="C17" dT="2025-11-03T21:06:50.35" personId="{8B0A715E-8B12-4343-B99D-6F4AF5299E37}" id="{20DE303C-59CF-4D3C-BCF3-4474ECF01F54}" done="1">
    <text xml:space="preserve">@Jackson Efford Soil Health? Soil quality is generally used in a more land-use specific context, for instance a good soil quality for forestry may be a poor soil quality for dairy. It’s can therefore be important to ask: ‘Soil quality…for what? Whereas soil health more broadly refers to the condition of the soil and whether the soil has been degraded. 
Soil health and soil quality » New Zealand Soils Portal - Manaaki Whenua - Landcare Research </text>
    <mentions>
      <mention mentionpersonId="{C51F1D01-5A78-41B3-AD74-DAA8ACBFE902}" mentionId="{CF434380-2077-4734-9DEC-5A65208A8059}" startIndex="0" length="15"/>
    </mentions>
    <extLst>
      <x:ext xmlns:xltc2="http://schemas.microsoft.com/office/spreadsheetml/2020/threadedcomments2" uri="{F7C98A9C-CBB3-438F-8F68-D28B6AF4A901}">
        <xltc2:checksum>250993730</xltc2:checksum>
        <xltc2:hyperlink startIndex="356" length="92" url="https://soils.landcareresearch.co.nz/topics/soil-quality"/>
      </x:ext>
    </extLst>
  </threadedComment>
  <threadedComment ref="D19" dT="2025-11-03T22:05:10.46" personId="{8B0A715E-8B12-4343-B99D-6F4AF5299E37}" id="{1B97E4C3-3DCD-4E8B-B81E-874F228BE04C}" done="1">
    <text>@Santiago Bermeo please add how you came up with the figures</text>
    <mentions>
      <mention mentionpersonId="{1FACA272-D100-478E-A688-EC60031549A4}" mentionId="{B99DBFB6-09D7-4C4B-A299-264D282A8264}" startIndex="0" length="16"/>
    </mentions>
  </threadedComment>
  <threadedComment ref="D19" dT="2025-11-05T01:12:05.44" personId="{30A63F10-412C-44A3-AD93-F8A6722139DF}" id="{F096A869-8297-4C2F-8D03-909258A82703}" parentId="{1B97E4C3-3DCD-4E8B-B81E-874F228BE04C}">
    <text>Done</text>
  </threadedComment>
  <threadedComment ref="C21" dT="2025-11-10T01:08:31.19" personId="{8B0A715E-8B12-4343-B99D-6F4AF5299E37}" id="{8DE6FAAE-F4A0-4267-9E16-9DAB7934AD7C}" done="1">
    <text>@Rebecca Lepa The description of the scoring sounds ok. But can you please add a brief explanation of each term or is it self explanatory?</text>
    <mentions>
      <mention mentionpersonId="{63F66463-0758-4A9B-9F1B-BE25D57A03C5}" mentionId="{D67F6467-F064-403B-95AD-845D191C3AE5}" startIndex="0" length="13"/>
    </mentions>
  </threadedComment>
</ThreadedComments>
</file>

<file path=xl/threadedComments/threadedComment5.xml><?xml version="1.0" encoding="utf-8"?>
<ThreadedComments xmlns="http://schemas.microsoft.com/office/spreadsheetml/2018/threadedcomments" xmlns:x="http://schemas.openxmlformats.org/spreadsheetml/2006/main">
  <threadedComment ref="A1" dT="2025-11-24T20:25:31.22" personId="{8B0A715E-8B12-4343-B99D-6F4AF5299E37}" id="{66CF0E42-530D-4E58-B4BF-E89C5667A0E6}">
    <text>@Santiago Bermeo @Jackson Efford @Gemma Moleta @Paul Scholes @Alastair Suren @Rebecca Lepa @Glenys Kroon Please list below works that you were based on when assessing each indicator</text>
    <mentions>
      <mention mentionpersonId="{1FACA272-D100-478E-A688-EC60031549A4}" mentionId="{BE773964-706E-4073-A8C9-93163AD5F2EF}" startIndex="0" length="16"/>
      <mention mentionpersonId="{C51F1D01-5A78-41B3-AD74-DAA8ACBFE902}" mentionId="{B869DD2E-15D8-4EE4-AD6D-A96D3082D8F1}" startIndex="17" length="15"/>
      <mention mentionpersonId="{E9D66F04-6CF0-4039-BEF2-8BEAB97D25CD}" mentionId="{26C110AD-6FC0-493C-B1C5-8E666E977BB8}" startIndex="33" length="13"/>
      <mention mentionpersonId="{C561E31F-287D-4BD8-A035-73CC7BF2A673}" mentionId="{0234B9A1-3D29-4ACA-A46E-541EAEE928A4}" startIndex="47" length="13"/>
      <mention mentionpersonId="{1F3AFA99-F27C-4C90-AA4D-E828F6CDA2C2}" mentionId="{82072EB5-D7BF-4BB4-97FC-FE3992110F07}" startIndex="61" length="15"/>
      <mention mentionpersonId="{63F66463-0758-4A9B-9F1B-BE25D57A03C5}" mentionId="{21154D52-AAFF-4B1B-A82C-3C8AE83E9C78}" startIndex="77" length="13"/>
      <mention mentionpersonId="{05FA468A-1529-4910-8A37-0CFF720F4D69}" mentionId="{F1C2C8E8-D83B-4200-BB36-66546939C850}" startIndex="91" length="13"/>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www.boprc.govt.nz/environment/land/on-farm-tree-planting-financial-calculator/"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8" Type="http://schemas.openxmlformats.org/officeDocument/2006/relationships/hyperlink" Target="https://statisticsnz.shinyapps.io/wellbeingindicators/_w_36152690262a49d990e9aaa8add5b408/?page=indicators&amp;class=Social&amp;type=Social%20connections" TargetMode="External"/><Relationship Id="rId13" Type="http://schemas.openxmlformats.org/officeDocument/2006/relationships/hyperlink" Target="https://www.stats.govt.nz/indicators/river-water-quality-macroinvertebrate-community-index" TargetMode="External"/><Relationship Id="rId18" Type="http://schemas.openxmlformats.org/officeDocument/2006/relationships/hyperlink" Target="https://www.doc.govt.nz/about-us/science-publications/conservation-publications/conservation-and-human-values/contribution-of-natural-environments-to-our-health-and-wellbeing/" TargetMode="External"/><Relationship Id="rId26" Type="http://schemas.microsoft.com/office/2019/04/relationships/documenttask" Target="../documenttasks/documenttask1.xml"/><Relationship Id="rId3" Type="http://schemas.openxmlformats.org/officeDocument/2006/relationships/hyperlink" Target="https://www.lawa.org.nz/learn/factsheets/calculating-water-quality-state-for-rivers/" TargetMode="External"/><Relationship Id="rId21" Type="http://schemas.openxmlformats.org/officeDocument/2006/relationships/hyperlink" Target="https://statisticsnz.shinyapps.io/wellbeingindicators/_w_36152690262a49d990e9aaa8add5b408/?page=indicators&amp;class=Social&amp;type=Subjective%20wellbeing&amp;indicator=Hope%20for%20the%20future" TargetMode="External"/><Relationship Id="rId7" Type="http://schemas.openxmlformats.org/officeDocument/2006/relationships/hyperlink" Target="https://statisticsnz.shinyapps.io/wellbeingindicators/_w_6895ba49/?page=indicators&amp;class=Social&amp;type=Social%20connections" TargetMode="External"/><Relationship Id="rId12" Type="http://schemas.openxmlformats.org/officeDocument/2006/relationships/hyperlink" Target="https://www.lawa.org.nz/explore-data/river-quality/" TargetMode="External"/><Relationship Id="rId17" Type="http://schemas.openxmlformats.org/officeDocument/2006/relationships/hyperlink" Target="https://www.treasury.govt.nz/information-and-services/nz-economy/higher-living-standards/our-living-standards-framework" TargetMode="External"/><Relationship Id="rId25" Type="http://schemas.microsoft.com/office/2017/10/relationships/threadedComment" Target="../threadedComments/threadedComment4.xml"/><Relationship Id="rId2" Type="http://schemas.openxmlformats.org/officeDocument/2006/relationships/hyperlink" Target="https://www.lawa.org.nz/learn/factsheets/groundwater/monitoring-groundwater-in-new-zealand/" TargetMode="External"/><Relationship Id="rId16" Type="http://schemas.openxmlformats.org/officeDocument/2006/relationships/hyperlink" Target="https://explore.data.stats.govt.nz/vis?fs%5b0%5d=Economy%2C1%7CLEED%20%28Linked%20Employer-Employee%20Data%29%23CAT_LEED_LINKED_EMPLOYEREMPLOYEE_DATA%23%7CLEED%20Annual%23CAT_LEED_ANNUAL%23&amp;pg=0&amp;fc=Economy&amp;bp=true&amp;snb=22&amp;df%5bds%5d=ds-nsiws-disseminate&amp;df%5bid%5d=LEED_AP1_007&amp;df%5bag%5d=STATSNZ&amp;df%5bvs%5d=1.0&amp;dq=2023.IZ.AA21%2BAA31%2BAA11%2BAA12%2BAA13%2BAA14%2BZZ.RD.&amp;ly%5bcl%5d=INDUSTRY_LEED_AP1_007%2CMEASURE_LEED_AP1_007&amp;to%5bTIME%5d=false" TargetMode="External"/><Relationship Id="rId20" Type="http://schemas.openxmlformats.org/officeDocument/2006/relationships/hyperlink" Target="https://statisticsnz.shinyapps.io/wellbeingindicators/_w_36152690262a49d990e9aaa8add5b408/?page=indicators&amp;class=Economic" TargetMode="External"/><Relationship Id="rId1" Type="http://schemas.openxmlformats.org/officeDocument/2006/relationships/hyperlink" Target="https://www.lawa.org.nz/learn/factsheets/faecal-indicators/" TargetMode="External"/><Relationship Id="rId6" Type="http://schemas.openxmlformats.org/officeDocument/2006/relationships/hyperlink" Target="https://soils.landcareresearch.co.nz/topics/soil-quality/" TargetMode="External"/><Relationship Id="rId11" Type="http://schemas.openxmlformats.org/officeDocument/2006/relationships/hyperlink" Target="https://soils.landcareresearch.co.nz/topics/soil-quality/" TargetMode="External"/><Relationship Id="rId24" Type="http://schemas.openxmlformats.org/officeDocument/2006/relationships/comments" Target="../comments4.xml"/><Relationship Id="rId5" Type="http://schemas.openxmlformats.org/officeDocument/2006/relationships/hyperlink" Target="https://www.lawa.org.nz/learn/factsheets/benthic-macroinvertebrates/" TargetMode="External"/><Relationship Id="rId15" Type="http://schemas.openxmlformats.org/officeDocument/2006/relationships/hyperlink" Target="https://www.landcareresearch.co.nz/discover-our-research/environment/sustainable-society-and-policy/evidence-empowering-impact/on-farm-biodiversity-assessments" TargetMode="External"/><Relationship Id="rId23" Type="http://schemas.openxmlformats.org/officeDocument/2006/relationships/vmlDrawing" Target="../drawings/vmlDrawing4.vml"/><Relationship Id="rId10" Type="http://schemas.openxmlformats.org/officeDocument/2006/relationships/hyperlink" Target="https://statisticsnz.shinyapps.io/wellbeingindicators/_w_6895ba49/?page=indicators&amp;class=Social&amp;type=Subjective%20wellbeing" TargetMode="External"/><Relationship Id="rId19" Type="http://schemas.openxmlformats.org/officeDocument/2006/relationships/hyperlink" Target="https://www.stats.govt.nz/news/the-current-state-of-housing-in-aotearoa-new-zealand/" TargetMode="External"/><Relationship Id="rId4" Type="http://schemas.openxmlformats.org/officeDocument/2006/relationships/hyperlink" Target="https://statisticsnz.shinyapps.io/wellbeingindicators/_w_36152690262a49d990e9aaa8add5b408/?page=indicators&amp;class=Social&amp;type=Subjective%20wellbeing&amp;indicator=Life%20satisfaction" TargetMode="External"/><Relationship Id="rId9" Type="http://schemas.openxmlformats.org/officeDocument/2006/relationships/hyperlink" Target="https://www.lawa.org.nz/learn/factsheets/land/monitoring-land-cover-in-new-zealand/" TargetMode="External"/><Relationship Id="rId14" Type="http://schemas.openxmlformats.org/officeDocument/2006/relationships/hyperlink" Target="https://www.lawa.org.nz/explore-data/groundwater-quality/" TargetMode="External"/><Relationship Id="rId22" Type="http://schemas.openxmlformats.org/officeDocument/2006/relationships/hyperlink" Target="https://www.tewhatuora.govt.nz/health-services-and-programmes/environmental-health/built-environment/urban-development" TargetMode="External"/></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www.stats.govt.nz/information-releases/business-price-indexes-june-2025-quarter/" TargetMode="External"/><Relationship Id="rId7" Type="http://schemas.openxmlformats.org/officeDocument/2006/relationships/hyperlink" Target="https://www.boprc.govt.nz/environment/land/on-farm-tree-planting-financial-calculator/" TargetMode="External"/><Relationship Id="rId2" Type="http://schemas.openxmlformats.org/officeDocument/2006/relationships/hyperlink" Target="https://beeflambnz.com/industry-data/farm-data-and-industry-production/sheep-beef-farm-survey" TargetMode="External"/><Relationship Id="rId1" Type="http://schemas.openxmlformats.org/officeDocument/2006/relationships/hyperlink" Target="https://www.dairynz.co.nz/search/?q=economic+survey+data" TargetMode="External"/><Relationship Id="rId6" Type="http://schemas.openxmlformats.org/officeDocument/2006/relationships/hyperlink" Target="https://atlas.boprc.govt.nz/api/v1/edms/document/A3421100/content" TargetMode="External"/><Relationship Id="rId11" Type="http://schemas.microsoft.com/office/2019/04/relationships/documenttask" Target="../documenttasks/documenttask2.xml"/><Relationship Id="rId5" Type="http://schemas.openxmlformats.org/officeDocument/2006/relationships/hyperlink" Target="https://landuseopportunities.nz/dataset/avocados-economic-indicators/resource/953baa17-af7b-472c-818a-267923246b0d" TargetMode="External"/><Relationship Id="rId10" Type="http://schemas.microsoft.com/office/2017/10/relationships/threadedComment" Target="../threadedComments/threadedComment5.xml"/><Relationship Id="rId4" Type="http://schemas.openxmlformats.org/officeDocument/2006/relationships/hyperlink" Target="https://www.zespri.com/content/zespri/nz/en-NZ/publications/kiwiflier/2025.html" TargetMode="External"/><Relationship Id="rId9"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C28AB-4A8C-40C3-80AE-678A4A732947}">
  <sheetPr codeName="Sheet2"/>
  <dimension ref="A1:A26"/>
  <sheetViews>
    <sheetView showGridLines="0" showRowColHeaders="0" zoomScaleNormal="100" workbookViewId="0">
      <selection activeCell="A21" sqref="A21"/>
    </sheetView>
  </sheetViews>
  <sheetFormatPr defaultColWidth="9.140625" defaultRowHeight="15"/>
  <cols>
    <col min="1" max="1" width="119.140625" style="13" customWidth="1"/>
    <col min="2" max="16384" width="9.140625" style="13"/>
  </cols>
  <sheetData>
    <row r="1" spans="1:1" ht="26.25">
      <c r="A1" s="235" t="s">
        <v>0</v>
      </c>
    </row>
    <row r="2" spans="1:1">
      <c r="A2" s="236"/>
    </row>
    <row r="3" spans="1:1">
      <c r="A3" s="199" t="s">
        <v>1</v>
      </c>
    </row>
    <row r="4" spans="1:1">
      <c r="A4" s="199"/>
    </row>
    <row r="5" spans="1:1">
      <c r="A5" s="236" t="s">
        <v>2</v>
      </c>
    </row>
    <row r="6" spans="1:1">
      <c r="A6" s="237" t="s">
        <v>3</v>
      </c>
    </row>
    <row r="7" spans="1:1">
      <c r="A7" s="238"/>
    </row>
    <row r="8" spans="1:1" ht="24">
      <c r="A8" s="239" t="s">
        <v>4</v>
      </c>
    </row>
    <row r="9" spans="1:1">
      <c r="A9" s="236" t="s">
        <v>5</v>
      </c>
    </row>
    <row r="10" spans="1:1">
      <c r="A10" s="236"/>
    </row>
    <row r="11" spans="1:1">
      <c r="A11" s="240" t="s">
        <v>6</v>
      </c>
    </row>
    <row r="12" spans="1:1">
      <c r="A12" s="241" t="s">
        <v>3</v>
      </c>
    </row>
    <row r="13" spans="1:1">
      <c r="A13" s="242" t="s">
        <v>7</v>
      </c>
    </row>
    <row r="14" spans="1:1">
      <c r="A14" s="241" t="s">
        <v>3</v>
      </c>
    </row>
    <row r="15" spans="1:1">
      <c r="A15" s="243" t="s">
        <v>8</v>
      </c>
    </row>
    <row r="16" spans="1:1">
      <c r="A16" s="241" t="s">
        <v>3</v>
      </c>
    </row>
    <row r="17" spans="1:1">
      <c r="A17" s="244"/>
    </row>
    <row r="18" spans="1:1" ht="24">
      <c r="A18" s="239" t="s">
        <v>9</v>
      </c>
    </row>
    <row r="19" spans="1:1" ht="60">
      <c r="A19" s="245" t="s">
        <v>10</v>
      </c>
    </row>
    <row r="20" spans="1:1">
      <c r="A20" s="246"/>
    </row>
    <row r="21" spans="1:1" ht="30">
      <c r="A21" s="245" t="s">
        <v>11</v>
      </c>
    </row>
    <row r="22" spans="1:1">
      <c r="A22" s="246"/>
    </row>
    <row r="23" spans="1:1">
      <c r="A23" s="241" t="s">
        <v>12</v>
      </c>
    </row>
    <row r="24" spans="1:1">
      <c r="A24" s="199"/>
    </row>
    <row r="25" spans="1:1" ht="24">
      <c r="A25" s="239" t="s">
        <v>13</v>
      </c>
    </row>
    <row r="26" spans="1:1" ht="60">
      <c r="A26" s="245" t="s">
        <v>14</v>
      </c>
    </row>
  </sheetData>
  <hyperlinks>
    <hyperlink ref="A6" r:id="rId1" display="https://www.boprc.govt.nz/environment/land/on-farm-tree-planting-financial-calculator/" xr:uid="{ADF9DF0A-5A4D-4EAC-AA65-062D44F3BC8B}"/>
  </hyperlinks>
  <pageMargins left="0.7" right="0.7" top="0.75" bottom="0.75" header="0.3" footer="0.3"/>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1F347-7E40-49AA-B8D3-F6E15B9D66A4}">
  <sheetPr codeName="Sheet3">
    <tabColor theme="5"/>
  </sheetPr>
  <dimension ref="A1:M44"/>
  <sheetViews>
    <sheetView showGridLines="0" topLeftCell="A20" zoomScale="170" zoomScaleNormal="170" workbookViewId="0">
      <selection sqref="A1:K43"/>
    </sheetView>
  </sheetViews>
  <sheetFormatPr defaultRowHeight="15"/>
  <cols>
    <col min="1" max="1" width="17.28515625" customWidth="1"/>
    <col min="2" max="2" width="55.5703125" bestFit="1" customWidth="1"/>
    <col min="3" max="3" width="10.140625" style="12" customWidth="1"/>
    <col min="4" max="4" width="4" customWidth="1"/>
    <col min="5" max="5" width="4.140625" customWidth="1"/>
    <col min="6" max="6" width="10.140625" customWidth="1"/>
    <col min="7" max="7" width="4" customWidth="1"/>
    <col min="8" max="8" width="17.28515625" customWidth="1"/>
    <col min="9" max="9" width="4" customWidth="1"/>
    <col min="10" max="10" width="10.140625" style="12" customWidth="1"/>
    <col min="11" max="11" width="4.140625" style="11" customWidth="1"/>
    <col min="12" max="13" width="10.5703125" bestFit="1" customWidth="1"/>
  </cols>
  <sheetData>
    <row r="1" spans="1:13" ht="26.25">
      <c r="A1" s="59" t="s">
        <v>15</v>
      </c>
    </row>
    <row r="2" spans="1:13" s="323" customFormat="1" ht="11.25">
      <c r="A2" s="322"/>
      <c r="C2" s="324"/>
      <c r="J2" s="324"/>
      <c r="K2" s="325"/>
    </row>
    <row r="3" spans="1:13" ht="18.75">
      <c r="A3" s="1" t="s">
        <v>16</v>
      </c>
    </row>
    <row r="4" spans="1:13">
      <c r="A4" s="248" t="s">
        <v>17</v>
      </c>
      <c r="B4" s="350" t="s">
        <v>18</v>
      </c>
      <c r="C4" s="350"/>
      <c r="D4" s="350"/>
      <c r="E4" s="350"/>
      <c r="F4" s="350"/>
      <c r="G4" s="350"/>
      <c r="H4" s="350"/>
      <c r="I4" s="350"/>
      <c r="J4" s="350"/>
      <c r="K4" s="350"/>
    </row>
    <row r="5" spans="1:13">
      <c r="A5" s="248" t="s">
        <v>17</v>
      </c>
      <c r="B5" s="349" t="s">
        <v>19</v>
      </c>
      <c r="C5" s="349"/>
      <c r="D5" s="349"/>
      <c r="E5" s="349"/>
      <c r="F5" s="349"/>
      <c r="G5" s="349"/>
      <c r="H5" s="349"/>
      <c r="I5" s="349"/>
      <c r="J5" s="349"/>
      <c r="K5" s="349"/>
    </row>
    <row r="6" spans="1:13" s="23" customFormat="1">
      <c r="A6" s="248" t="s">
        <v>17</v>
      </c>
      <c r="B6" s="353" t="s">
        <v>20</v>
      </c>
      <c r="C6" s="353"/>
      <c r="D6" s="353"/>
      <c r="E6" s="353"/>
      <c r="F6" s="353"/>
      <c r="G6" s="353"/>
      <c r="H6" s="353"/>
      <c r="I6" s="353"/>
      <c r="J6" s="353"/>
      <c r="K6" s="353"/>
    </row>
    <row r="7" spans="1:13" ht="15" customHeight="1">
      <c r="A7" s="248" t="s">
        <v>17</v>
      </c>
      <c r="B7" s="354" t="s">
        <v>21</v>
      </c>
      <c r="C7" s="354"/>
      <c r="D7" s="354"/>
      <c r="E7" s="354"/>
      <c r="F7" s="354"/>
      <c r="G7" s="354"/>
      <c r="H7" s="354"/>
      <c r="I7" s="354"/>
      <c r="J7" s="354"/>
      <c r="K7" s="354"/>
    </row>
    <row r="8" spans="1:13">
      <c r="A8" s="248" t="s">
        <v>17</v>
      </c>
      <c r="B8" s="355" t="s">
        <v>22</v>
      </c>
      <c r="C8" s="355"/>
      <c r="D8" s="355"/>
      <c r="E8" s="355"/>
      <c r="F8" s="355"/>
      <c r="G8" s="355"/>
      <c r="H8" s="355"/>
      <c r="I8" s="355"/>
      <c r="J8" s="355"/>
      <c r="K8" s="355"/>
    </row>
    <row r="9" spans="1:13" ht="18.75">
      <c r="A9" s="248" t="s">
        <v>17</v>
      </c>
      <c r="B9" s="356" t="s">
        <v>23</v>
      </c>
      <c r="C9" s="356"/>
      <c r="D9" s="356"/>
      <c r="E9" s="356"/>
      <c r="F9" s="356"/>
      <c r="G9" s="356"/>
      <c r="H9" s="356"/>
      <c r="I9" s="356"/>
      <c r="J9" s="356"/>
      <c r="K9" s="356"/>
    </row>
    <row r="10" spans="1:13" s="323" customFormat="1" ht="11.25">
      <c r="C10" s="326"/>
      <c r="J10" s="326"/>
      <c r="K10" s="325"/>
    </row>
    <row r="11" spans="1:13" ht="18.75">
      <c r="A11" s="348" t="s">
        <v>24</v>
      </c>
      <c r="B11" s="272" t="s">
        <v>25</v>
      </c>
      <c r="C11" s="186"/>
      <c r="D11" s="187"/>
      <c r="H11" s="188"/>
      <c r="I11" s="22"/>
      <c r="J11" s="11"/>
      <c r="K11"/>
    </row>
    <row r="12" spans="1:13">
      <c r="A12" s="348"/>
      <c r="B12" s="318" t="str">
        <f>IF(B11="Custom Catchment","Please specify","")</f>
        <v/>
      </c>
      <c r="C12" s="22"/>
      <c r="J12" s="22"/>
    </row>
    <row r="13" spans="1:13" ht="30.75" thickBot="1">
      <c r="A13" s="17"/>
      <c r="B13" s="271" t="s">
        <v>26</v>
      </c>
      <c r="C13" s="357" t="s">
        <v>27</v>
      </c>
      <c r="D13" s="358"/>
      <c r="E13" s="197"/>
      <c r="F13" s="351" t="s">
        <v>28</v>
      </c>
      <c r="G13" s="351"/>
      <c r="H13" s="305" t="s">
        <v>29</v>
      </c>
      <c r="I13" s="197"/>
      <c r="J13" s="352" t="str">
        <f>IF(B11="Custom Catchment","Baseline (specify below)","Baseline")</f>
        <v>Baseline</v>
      </c>
      <c r="K13" s="352"/>
    </row>
    <row r="14" spans="1:13" ht="29.25" customHeight="1">
      <c r="A14" s="37" t="e" vm="1">
        <v>#VALUE!</v>
      </c>
      <c r="B14" s="270" t="str">
        <f>'LU-Baseline'!A6</f>
        <v>Sheep + Beef  (SEPP)</v>
      </c>
      <c r="C14" s="327">
        <v>-300</v>
      </c>
      <c r="D14" t="s">
        <v>30</v>
      </c>
      <c r="F14" s="55">
        <f t="shared" ref="F14:F38" si="0">J14+C14</f>
        <v>309</v>
      </c>
      <c r="G14" s="55" t="s">
        <v>30</v>
      </c>
      <c r="H14" s="189">
        <f>IFERROR((F14/J14),"")</f>
        <v>0.5073891625615764</v>
      </c>
      <c r="J14" s="263">
        <f>SUMIF('LU-Baseline'!$C$5:$O$5,$B$11,'LU-Baseline'!$C6:$O6)</f>
        <v>609</v>
      </c>
      <c r="K14" s="11" t="s">
        <v>30</v>
      </c>
      <c r="L14" s="12"/>
      <c r="M14" s="12"/>
    </row>
    <row r="15" spans="1:13" ht="29.25" customHeight="1">
      <c r="A15" s="37" t="e" vm="2">
        <v>#VALUE!</v>
      </c>
      <c r="B15" t="str">
        <f>'LU-Baseline'!A7</f>
        <v>Sheep + Beef  (Non-SEPP)</v>
      </c>
      <c r="C15" s="328"/>
      <c r="D15" t="s">
        <v>30</v>
      </c>
      <c r="F15" s="55">
        <f t="shared" si="0"/>
        <v>3141</v>
      </c>
      <c r="G15" s="55" t="s">
        <v>30</v>
      </c>
      <c r="H15" s="189">
        <f t="shared" ref="H15:H38" si="1">IFERROR((F15/J15),"")</f>
        <v>1</v>
      </c>
      <c r="J15" s="263">
        <f>SUMIF('LU-Baseline'!$C$5:$O$5,$B$11,'LU-Baseline'!$C7:$O7)</f>
        <v>3141</v>
      </c>
      <c r="K15" s="11" t="s">
        <v>30</v>
      </c>
      <c r="L15" s="12"/>
      <c r="M15" s="12"/>
    </row>
    <row r="16" spans="1:13" ht="29.25" customHeight="1">
      <c r="A16" s="37" t="e" vm="3">
        <v>#VALUE!</v>
      </c>
      <c r="B16" t="str">
        <f>'LU-Baseline'!A8</f>
        <v>Dairy (SEPP)</v>
      </c>
      <c r="C16" s="328">
        <v>-100</v>
      </c>
      <c r="D16" t="s">
        <v>30</v>
      </c>
      <c r="F16" s="55">
        <f t="shared" si="0"/>
        <v>561</v>
      </c>
      <c r="G16" s="55" t="s">
        <v>30</v>
      </c>
      <c r="H16" s="189">
        <f t="shared" si="1"/>
        <v>0.84871406959152795</v>
      </c>
      <c r="J16" s="263">
        <f>SUMIF('LU-Baseline'!$C$5:$O$5,$B$11,'LU-Baseline'!$C8:$O8)</f>
        <v>661</v>
      </c>
      <c r="K16" s="11" t="s">
        <v>30</v>
      </c>
      <c r="L16" s="12"/>
      <c r="M16" s="12"/>
    </row>
    <row r="17" spans="1:13" ht="29.25" customHeight="1">
      <c r="A17" s="37" t="e" vm="4">
        <v>#VALUE!</v>
      </c>
      <c r="B17" t="str">
        <f>'LU-Baseline'!A9</f>
        <v>Dairy (Non-SEPP)</v>
      </c>
      <c r="C17" s="328"/>
      <c r="D17" t="s">
        <v>30</v>
      </c>
      <c r="F17" s="55">
        <f t="shared" si="0"/>
        <v>12830</v>
      </c>
      <c r="G17" s="55" t="s">
        <v>30</v>
      </c>
      <c r="H17" s="189">
        <f t="shared" si="1"/>
        <v>1</v>
      </c>
      <c r="J17" s="263">
        <f>SUMIF('LU-Baseline'!$C$5:$O$5,$B$11,'LU-Baseline'!$C9:$O9)</f>
        <v>12830</v>
      </c>
      <c r="K17" s="11" t="s">
        <v>30</v>
      </c>
      <c r="L17" s="12"/>
      <c r="M17" s="12"/>
    </row>
    <row r="18" spans="1:13" ht="29.25" customHeight="1">
      <c r="A18" s="37" t="e" vm="5">
        <v>#VALUE!</v>
      </c>
      <c r="B18" t="str">
        <f>'LU-Baseline'!A10</f>
        <v>Dairy support/high intensity beef or dairy grazing (SEPP)</v>
      </c>
      <c r="C18" s="328"/>
      <c r="D18" t="s">
        <v>30</v>
      </c>
      <c r="F18" s="55">
        <f t="shared" si="0"/>
        <v>275</v>
      </c>
      <c r="G18" s="55" t="s">
        <v>30</v>
      </c>
      <c r="H18" s="189">
        <f t="shared" si="1"/>
        <v>1</v>
      </c>
      <c r="J18" s="263">
        <f>SUMIF('LU-Baseline'!$C$5:$O$5,$B$11,'LU-Baseline'!$C10:$O10)</f>
        <v>275</v>
      </c>
      <c r="K18" s="11" t="s">
        <v>30</v>
      </c>
      <c r="L18" s="12"/>
      <c r="M18" s="12"/>
    </row>
    <row r="19" spans="1:13" ht="29.25" customHeight="1">
      <c r="A19" s="37" t="e" vm="6">
        <v>#VALUE!</v>
      </c>
      <c r="B19" t="str">
        <f>'LU-Baseline'!A11</f>
        <v>Dairy support/high intensity beef or dairy grazing (Non-SEPP)</v>
      </c>
      <c r="C19" s="328"/>
      <c r="D19" t="s">
        <v>30</v>
      </c>
      <c r="F19" s="55">
        <f t="shared" si="0"/>
        <v>1256</v>
      </c>
      <c r="G19" s="55" t="s">
        <v>30</v>
      </c>
      <c r="H19" s="189">
        <f t="shared" si="1"/>
        <v>1</v>
      </c>
      <c r="J19" s="263">
        <f>SUMIF('LU-Baseline'!$C$5:$O$5,$B$11,'LU-Baseline'!$C11:$O11)</f>
        <v>1256</v>
      </c>
      <c r="K19" s="11" t="s">
        <v>30</v>
      </c>
      <c r="L19" s="12"/>
      <c r="M19" s="12"/>
    </row>
    <row r="20" spans="1:13" ht="29.25" customHeight="1">
      <c r="A20" s="37" t="e" vm="7">
        <v>#VALUE!</v>
      </c>
      <c r="B20" t="str">
        <f>'LU-Baseline'!A12</f>
        <v>Deer (SEPP)</v>
      </c>
      <c r="C20" s="328"/>
      <c r="D20" t="s">
        <v>30</v>
      </c>
      <c r="F20" s="55">
        <f t="shared" si="0"/>
        <v>29</v>
      </c>
      <c r="G20" s="55" t="s">
        <v>30</v>
      </c>
      <c r="H20" s="189">
        <f t="shared" si="1"/>
        <v>1</v>
      </c>
      <c r="J20" s="263">
        <f>SUMIF('LU-Baseline'!$C$5:$O$5,$B$11,'LU-Baseline'!$C12:$O12)</f>
        <v>29</v>
      </c>
      <c r="K20" s="11" t="s">
        <v>30</v>
      </c>
      <c r="L20" s="12"/>
      <c r="M20" s="12"/>
    </row>
    <row r="21" spans="1:13" ht="29.25" customHeight="1">
      <c r="A21" s="37" t="e" vm="8">
        <v>#VALUE!</v>
      </c>
      <c r="B21" t="str">
        <f>'LU-Baseline'!A13</f>
        <v>Deer (Non-SEPP)</v>
      </c>
      <c r="C21" s="328"/>
      <c r="D21" t="s">
        <v>30</v>
      </c>
      <c r="F21" s="55">
        <f t="shared" si="0"/>
        <v>208</v>
      </c>
      <c r="G21" s="55" t="s">
        <v>30</v>
      </c>
      <c r="H21" s="189">
        <f t="shared" si="1"/>
        <v>1</v>
      </c>
      <c r="J21" s="263">
        <f>SUMIF('LU-Baseline'!$C$5:$O$5,$B$11,'LU-Baseline'!$C13:$O13)</f>
        <v>208</v>
      </c>
      <c r="K21" s="11" t="s">
        <v>30</v>
      </c>
      <c r="L21" s="12"/>
      <c r="M21" s="12"/>
    </row>
    <row r="22" spans="1:13" ht="29.25" customHeight="1">
      <c r="A22" s="37" t="e" vm="9">
        <v>#VALUE!</v>
      </c>
      <c r="B22" t="str">
        <f>'LU-Baseline'!A14</f>
        <v>Arable/vegetables</v>
      </c>
      <c r="C22" s="328"/>
      <c r="D22" t="s">
        <v>30</v>
      </c>
      <c r="F22" s="55">
        <f t="shared" si="0"/>
        <v>172</v>
      </c>
      <c r="G22" s="55" t="s">
        <v>30</v>
      </c>
      <c r="H22" s="189">
        <f t="shared" si="1"/>
        <v>1</v>
      </c>
      <c r="J22" s="263">
        <f>SUMIF('LU-Baseline'!$C$5:$O$5,$B$11,'LU-Baseline'!$C14:$O14)</f>
        <v>172</v>
      </c>
      <c r="K22" s="11" t="s">
        <v>30</v>
      </c>
      <c r="L22" s="12"/>
      <c r="M22" s="12"/>
    </row>
    <row r="23" spans="1:13" ht="29.25" customHeight="1">
      <c r="A23" s="37" t="e" vm="10">
        <v>#VALUE!</v>
      </c>
      <c r="B23" t="str">
        <f>'LU-Baseline'!A15</f>
        <v>Kiwifruit</v>
      </c>
      <c r="C23" s="328"/>
      <c r="D23" t="s">
        <v>30</v>
      </c>
      <c r="F23" s="55">
        <f t="shared" si="0"/>
        <v>2447</v>
      </c>
      <c r="G23" s="55" t="s">
        <v>30</v>
      </c>
      <c r="H23" s="189">
        <f t="shared" si="1"/>
        <v>1</v>
      </c>
      <c r="J23" s="263">
        <f>SUMIF('LU-Baseline'!$C$5:$O$5,$B$11,'LU-Baseline'!$C15:$O15)</f>
        <v>2447</v>
      </c>
      <c r="K23" s="11" t="s">
        <v>30</v>
      </c>
      <c r="L23" s="12"/>
      <c r="M23" s="12"/>
    </row>
    <row r="24" spans="1:13" ht="29.25" customHeight="1">
      <c r="A24" s="37" t="e" vm="11">
        <v>#VALUE!</v>
      </c>
      <c r="B24" t="str">
        <f>'LU-Baseline'!A16</f>
        <v>Other horticulture</v>
      </c>
      <c r="C24" s="328"/>
      <c r="D24" t="s">
        <v>30</v>
      </c>
      <c r="F24" s="55">
        <f t="shared" si="0"/>
        <v>731</v>
      </c>
      <c r="G24" s="55" t="s">
        <v>30</v>
      </c>
      <c r="H24" s="189">
        <f t="shared" si="1"/>
        <v>1</v>
      </c>
      <c r="J24" s="263">
        <f>SUMIF('LU-Baseline'!$C$5:$O$5,$B$11,'LU-Baseline'!$C16:$O16)</f>
        <v>731</v>
      </c>
      <c r="K24" s="11" t="s">
        <v>30</v>
      </c>
      <c r="L24" s="12"/>
      <c r="M24" s="12"/>
    </row>
    <row r="25" spans="1:13" ht="29.25" customHeight="1">
      <c r="A25" s="37" t="e" vm="12">
        <v>#VALUE!</v>
      </c>
      <c r="B25" t="str">
        <f>'LU-Baseline'!A17</f>
        <v>Forestry - Exotic</v>
      </c>
      <c r="C25" s="328">
        <v>200</v>
      </c>
      <c r="D25" t="s">
        <v>30</v>
      </c>
      <c r="F25" s="55">
        <f t="shared" si="0"/>
        <v>7306</v>
      </c>
      <c r="G25" s="55" t="s">
        <v>30</v>
      </c>
      <c r="H25" s="189">
        <f t="shared" si="1"/>
        <v>1.0281452293836195</v>
      </c>
      <c r="J25" s="263">
        <f>SUMIF('LU-Baseline'!$C$5:$O$5,$B$11,'LU-Baseline'!$C17:$O17)</f>
        <v>7106</v>
      </c>
      <c r="K25" s="11" t="s">
        <v>30</v>
      </c>
      <c r="L25" s="12"/>
      <c r="M25" s="12"/>
    </row>
    <row r="26" spans="1:13" s="23" customFormat="1" ht="29.25" customHeight="1">
      <c r="A26" s="269" t="e" vm="13">
        <v>#VALUE!</v>
      </c>
      <c r="B26" s="23" t="str">
        <f>'LU-Baseline'!A18</f>
        <v>Forestry - Indigenous pre-1990</v>
      </c>
      <c r="C26" s="329"/>
      <c r="D26" s="23" t="s">
        <v>30</v>
      </c>
      <c r="F26" s="129">
        <f t="shared" si="0"/>
        <v>4459</v>
      </c>
      <c r="G26" s="129" t="s">
        <v>30</v>
      </c>
      <c r="H26" s="189">
        <f t="shared" si="1"/>
        <v>1</v>
      </c>
      <c r="J26" s="263">
        <f>SUMIF('LU-Baseline'!$C$5:$O$5,$B$11,'LU-Baseline'!$C18:$O18)</f>
        <v>4459</v>
      </c>
      <c r="K26" s="190" t="s">
        <v>30</v>
      </c>
      <c r="L26" s="131"/>
      <c r="M26" s="131"/>
    </row>
    <row r="27" spans="1:13" s="23" customFormat="1" ht="29.25" customHeight="1">
      <c r="A27" s="269" t="e" vm="14">
        <v>#VALUE!</v>
      </c>
      <c r="B27" s="23" t="str">
        <f>'LU-Baseline'!A19</f>
        <v>Forestry - Indigenous post-1989</v>
      </c>
      <c r="C27" s="329">
        <v>200</v>
      </c>
      <c r="D27" s="23" t="s">
        <v>30</v>
      </c>
      <c r="F27" s="129">
        <f>J27+C27</f>
        <v>214</v>
      </c>
      <c r="G27" s="129" t="s">
        <v>30</v>
      </c>
      <c r="H27" s="189">
        <f t="shared" si="1"/>
        <v>15.285714285714286</v>
      </c>
      <c r="J27" s="263">
        <f>SUMIF('LU-Baseline'!$C$5:$O$5,$B$11,'LU-Baseline'!$C19:$O19)</f>
        <v>14</v>
      </c>
      <c r="K27" s="190" t="s">
        <v>30</v>
      </c>
      <c r="L27" s="306"/>
      <c r="M27" s="131"/>
    </row>
    <row r="28" spans="1:13" ht="29.25" customHeight="1">
      <c r="A28" s="37" t="e" vm="15">
        <v>#VALUE!</v>
      </c>
      <c r="B28" t="str">
        <f>'LU-Baseline'!A20</f>
        <v>Parks and Recreation</v>
      </c>
      <c r="C28" s="328"/>
      <c r="D28" t="s">
        <v>30</v>
      </c>
      <c r="F28" s="55">
        <f t="shared" si="0"/>
        <v>0</v>
      </c>
      <c r="G28" s="55" t="s">
        <v>30</v>
      </c>
      <c r="H28" s="189" t="str">
        <f t="shared" si="1"/>
        <v/>
      </c>
      <c r="J28" s="263">
        <f>SUMIF('LU-Baseline'!$C$5:$O$5,$B$11,'LU-Baseline'!$C20:$O20)</f>
        <v>0</v>
      </c>
      <c r="K28" s="11" t="s">
        <v>30</v>
      </c>
      <c r="L28" s="12"/>
      <c r="M28" s="12"/>
    </row>
    <row r="29" spans="1:13" ht="29.25" customHeight="1">
      <c r="A29" s="37" t="e" vm="16">
        <v>#VALUE!</v>
      </c>
      <c r="B29" t="str">
        <f>'LU-Baseline'!A21</f>
        <v>Wetlands</v>
      </c>
      <c r="C29" s="328"/>
      <c r="D29" t="s">
        <v>30</v>
      </c>
      <c r="F29" s="55">
        <f t="shared" si="0"/>
        <v>179</v>
      </c>
      <c r="G29" s="55" t="s">
        <v>30</v>
      </c>
      <c r="H29" s="189">
        <f t="shared" si="1"/>
        <v>1</v>
      </c>
      <c r="J29" s="263">
        <f>SUMIF('LU-Baseline'!$C$5:$O$5,$B$11,'LU-Baseline'!$C21:$O21)</f>
        <v>179</v>
      </c>
      <c r="K29" s="11" t="s">
        <v>30</v>
      </c>
      <c r="L29" s="12"/>
      <c r="M29" s="12"/>
    </row>
    <row r="30" spans="1:13" ht="29.25" customHeight="1">
      <c r="A30" s="37" t="e" vm="17">
        <v>#VALUE!</v>
      </c>
      <c r="B30" t="str">
        <f>'LU-Baseline'!A22</f>
        <v>Urban/road/rail</v>
      </c>
      <c r="C30" s="328"/>
      <c r="D30" t="s">
        <v>30</v>
      </c>
      <c r="F30" s="55">
        <f t="shared" si="0"/>
        <v>609</v>
      </c>
      <c r="G30" s="55" t="s">
        <v>30</v>
      </c>
      <c r="H30" s="189">
        <f t="shared" si="1"/>
        <v>1</v>
      </c>
      <c r="J30" s="263">
        <f>SUMIF('LU-Baseline'!$C$5:$O$5,$B$11,'LU-Baseline'!$C22:$O22)</f>
        <v>609</v>
      </c>
      <c r="K30" s="11" t="s">
        <v>30</v>
      </c>
      <c r="L30" s="12"/>
      <c r="M30" s="12"/>
    </row>
    <row r="31" spans="1:13" ht="29.25" customHeight="1">
      <c r="A31" s="37" t="e" vm="18">
        <v>#VALUE!</v>
      </c>
      <c r="B31" t="str">
        <f>'LU-Baseline'!A23</f>
        <v>Lifestyle block or mixed land use (SEPP)</v>
      </c>
      <c r="C31" s="328"/>
      <c r="D31" t="s">
        <v>30</v>
      </c>
      <c r="F31" s="55">
        <f t="shared" si="0"/>
        <v>24</v>
      </c>
      <c r="G31" s="55" t="s">
        <v>30</v>
      </c>
      <c r="H31" s="189">
        <f t="shared" si="1"/>
        <v>1</v>
      </c>
      <c r="J31" s="263">
        <f>SUMIF('LU-Baseline'!$C$5:$O$5,$B$11,'LU-Baseline'!$C23:$O23)</f>
        <v>24</v>
      </c>
      <c r="K31" s="11" t="s">
        <v>30</v>
      </c>
      <c r="L31" s="12"/>
      <c r="M31" s="12"/>
    </row>
    <row r="32" spans="1:13" ht="29.25" customHeight="1">
      <c r="A32" s="37" t="e" vm="19">
        <v>#VALUE!</v>
      </c>
      <c r="B32" t="str">
        <f>'LU-Baseline'!A24</f>
        <v>Lifestyle block or mixed land use (Non-SEPP)</v>
      </c>
      <c r="C32" s="328"/>
      <c r="D32" t="s">
        <v>30</v>
      </c>
      <c r="F32" s="55">
        <f t="shared" si="0"/>
        <v>701</v>
      </c>
      <c r="G32" s="55" t="s">
        <v>30</v>
      </c>
      <c r="H32" s="189">
        <f t="shared" si="1"/>
        <v>1</v>
      </c>
      <c r="J32" s="263">
        <f>SUMIF('LU-Baseline'!$C$5:$O$5,$B$11,'LU-Baseline'!$C24:$O24)</f>
        <v>701</v>
      </c>
      <c r="K32" s="11" t="s">
        <v>30</v>
      </c>
      <c r="L32" s="12"/>
      <c r="M32" s="12"/>
    </row>
    <row r="33" spans="1:13" ht="29.25" customHeight="1">
      <c r="A33" s="37" t="e" vm="20">
        <v>#VALUE!</v>
      </c>
      <c r="B33" t="str">
        <f>'LU-Baseline'!A25</f>
        <v>Hydro</v>
      </c>
      <c r="C33" s="328"/>
      <c r="D33" t="s">
        <v>30</v>
      </c>
      <c r="F33" s="55">
        <f t="shared" si="0"/>
        <v>106</v>
      </c>
      <c r="G33" s="55" t="s">
        <v>30</v>
      </c>
      <c r="H33" s="189">
        <f t="shared" si="1"/>
        <v>1</v>
      </c>
      <c r="J33" s="263">
        <f>SUMIF('LU-Baseline'!$C$5:$O$5,$B$11,'LU-Baseline'!$C25:$O25)</f>
        <v>106</v>
      </c>
      <c r="K33" s="11" t="s">
        <v>30</v>
      </c>
      <c r="L33" s="12"/>
      <c r="M33" s="12"/>
    </row>
    <row r="34" spans="1:13" ht="29.25" customHeight="1">
      <c r="A34" s="37" t="e" vm="21">
        <v>#VALUE!</v>
      </c>
      <c r="B34" t="str">
        <f>'LU-Baseline'!A26</f>
        <v>Other</v>
      </c>
      <c r="C34" s="328"/>
      <c r="D34" t="s">
        <v>30</v>
      </c>
      <c r="F34" s="55">
        <f t="shared" si="0"/>
        <v>30</v>
      </c>
      <c r="G34" s="55" t="s">
        <v>30</v>
      </c>
      <c r="H34" s="189">
        <f t="shared" si="1"/>
        <v>1</v>
      </c>
      <c r="J34" s="263">
        <f>SUMIF('LU-Baseline'!$C$5:$O$5,$B$11,'LU-Baseline'!$C26:$O26)</f>
        <v>30</v>
      </c>
      <c r="K34" s="11" t="s">
        <v>30</v>
      </c>
      <c r="L34" s="12"/>
      <c r="M34" s="12"/>
    </row>
    <row r="35" spans="1:13" ht="29.25" customHeight="1">
      <c r="A35" s="37" t="e" vm="22">
        <v>#VALUE!</v>
      </c>
      <c r="B35" t="str">
        <f>'LU-Baseline'!A27</f>
        <v>Scrub</v>
      </c>
      <c r="C35" s="328"/>
      <c r="D35" t="s">
        <v>30</v>
      </c>
      <c r="F35" s="55">
        <f t="shared" si="0"/>
        <v>145</v>
      </c>
      <c r="G35" s="55" t="s">
        <v>30</v>
      </c>
      <c r="H35" s="189">
        <f>IFERROR((F35/J35),"")</f>
        <v>1</v>
      </c>
      <c r="J35" s="263">
        <f>SUMIF('LU-Baseline'!$C$5:$O$5,$B$11,'LU-Baseline'!$C27:$O27)</f>
        <v>145</v>
      </c>
      <c r="K35" s="11" t="s">
        <v>30</v>
      </c>
      <c r="L35" s="12"/>
      <c r="M35" s="12"/>
    </row>
    <row r="36" spans="1:13" s="23" customFormat="1">
      <c r="B36" s="264" t="s">
        <v>31</v>
      </c>
      <c r="C36" s="265"/>
      <c r="D36" s="23" t="s">
        <v>30</v>
      </c>
      <c r="F36" s="129">
        <f t="shared" si="0"/>
        <v>0</v>
      </c>
      <c r="G36" s="129" t="s">
        <v>30</v>
      </c>
      <c r="H36" s="189" t="str">
        <f t="shared" si="1"/>
        <v/>
      </c>
      <c r="J36" s="265"/>
      <c r="K36" s="190" t="s">
        <v>30</v>
      </c>
      <c r="L36" s="131"/>
      <c r="M36" s="131"/>
    </row>
    <row r="37" spans="1:13" s="23" customFormat="1">
      <c r="B37" s="264" t="s">
        <v>32</v>
      </c>
      <c r="C37" s="265"/>
      <c r="D37" s="23" t="s">
        <v>30</v>
      </c>
      <c r="F37" s="129">
        <f t="shared" si="0"/>
        <v>0</v>
      </c>
      <c r="G37" s="129" t="s">
        <v>30</v>
      </c>
      <c r="H37" s="189" t="str">
        <f t="shared" si="1"/>
        <v/>
      </c>
      <c r="J37" s="265"/>
      <c r="K37" s="190" t="s">
        <v>30</v>
      </c>
      <c r="L37" s="131"/>
      <c r="M37" s="131"/>
    </row>
    <row r="38" spans="1:13" s="23" customFormat="1">
      <c r="B38" s="266" t="s">
        <v>33</v>
      </c>
      <c r="C38" s="267"/>
      <c r="D38" s="127" t="s">
        <v>30</v>
      </c>
      <c r="E38" s="127"/>
      <c r="F38" s="130">
        <f t="shared" si="0"/>
        <v>0</v>
      </c>
      <c r="G38" s="130" t="s">
        <v>30</v>
      </c>
      <c r="H38" s="313" t="str">
        <f t="shared" si="1"/>
        <v/>
      </c>
      <c r="I38" s="127"/>
      <c r="J38" s="267"/>
      <c r="K38" s="198" t="s">
        <v>30</v>
      </c>
      <c r="L38" s="131"/>
      <c r="M38" s="131"/>
    </row>
    <row r="39" spans="1:13" s="192" customFormat="1" ht="18.75">
      <c r="C39" s="191" t="str">
        <f>IF(SUM(C14:C38)=0,"","Error - Please adjust area of Land Use Δ to return this to zero")</f>
        <v/>
      </c>
      <c r="F39" s="193">
        <f>SUM(F14:F38)</f>
        <v>35732</v>
      </c>
      <c r="G39" s="193" t="s">
        <v>30</v>
      </c>
      <c r="J39" s="194">
        <f>SUM(J14:J38)</f>
        <v>35732</v>
      </c>
      <c r="K39" s="195" t="s">
        <v>30</v>
      </c>
      <c r="L39" s="196"/>
    </row>
    <row r="40" spans="1:13">
      <c r="C40" s="180"/>
      <c r="D40" s="14"/>
      <c r="E40" s="14"/>
      <c r="J40" s="22"/>
    </row>
    <row r="41" spans="1:13">
      <c r="C41" s="22"/>
      <c r="J41" s="22"/>
    </row>
    <row r="42" spans="1:13">
      <c r="C42" s="22"/>
      <c r="J42" s="22"/>
    </row>
    <row r="43" spans="1:13">
      <c r="C43" s="22"/>
      <c r="J43" s="22"/>
    </row>
    <row r="44" spans="1:13">
      <c r="C44" s="22"/>
      <c r="J44" s="22"/>
    </row>
  </sheetData>
  <sheetProtection algorithmName="SHA-512" hashValue="G/ZbOBfrywuTYkH8d63fvZq4ecEcGMGL4f1FRi32CphajNwb3jN8wgjyKWWvVTu8BxGrRn9Zas80IIaT6Tyx3A==" saltValue="KZYJTTmWkgOvVZNwCX8zTA==" spinCount="100000" sheet="1" objects="1" scenarios="1"/>
  <dataConsolidate/>
  <mergeCells count="10">
    <mergeCell ref="A11:A12"/>
    <mergeCell ref="B5:K5"/>
    <mergeCell ref="B4:K4"/>
    <mergeCell ref="F13:G13"/>
    <mergeCell ref="J13:K13"/>
    <mergeCell ref="B6:K6"/>
    <mergeCell ref="B7:K7"/>
    <mergeCell ref="B8:K8"/>
    <mergeCell ref="B9:K9"/>
    <mergeCell ref="C13:D13"/>
  </mergeCells>
  <dataValidations count="2">
    <dataValidation type="whole" operator="greaterThanOrEqual" allowBlank="1" showInputMessage="1" showErrorMessage="1" sqref="C14:C38" xr:uid="{2220660A-DA71-4E8C-ADDD-795673325D67}">
      <formula1>-J14</formula1>
    </dataValidation>
    <dataValidation type="whole" operator="greaterThan" allowBlank="1" showInputMessage="1" showErrorMessage="1" sqref="J36:J38" xr:uid="{476B31F6-0ED8-46A8-AC35-D9671C743FA5}">
      <formula1>0</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B9B822-030A-4998-935B-8647F6BA7EDA}">
          <x14:formula1>
            <xm:f>'LU-Baseline'!$B$5:$P$5</xm:f>
          </x14:formula1>
          <xm:sqref>B11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479C2-8758-4D96-A83F-FF0206992143}">
  <sheetPr codeName="Sheet4">
    <tabColor rgb="FF00B0F0"/>
  </sheetPr>
  <dimension ref="A1:AC39"/>
  <sheetViews>
    <sheetView showGridLines="0" topLeftCell="A9" zoomScale="90" zoomScaleNormal="90" workbookViewId="0">
      <selection activeCell="O44" sqref="O44"/>
    </sheetView>
  </sheetViews>
  <sheetFormatPr defaultRowHeight="15"/>
  <cols>
    <col min="1" max="1" width="16.5703125" customWidth="1"/>
    <col min="2" max="2" width="14.7109375" customWidth="1"/>
    <col min="3" max="3" width="45.7109375" bestFit="1" customWidth="1"/>
    <col min="4" max="4" width="14.42578125" bestFit="1" customWidth="1"/>
    <col min="5" max="16" width="9.28515625" customWidth="1"/>
    <col min="17" max="18" width="9.28515625" style="23" customWidth="1"/>
    <col min="19" max="20" width="9.28515625" customWidth="1"/>
    <col min="21" max="21" width="11.42578125" customWidth="1"/>
    <col min="22" max="26" width="9.28515625" customWidth="1"/>
    <col min="27" max="29" width="9.28515625" style="19" customWidth="1"/>
  </cols>
  <sheetData>
    <row r="1" spans="1:29" ht="39.950000000000003" customHeight="1">
      <c r="A1" s="317" t="s">
        <v>34</v>
      </c>
    </row>
    <row r="2" spans="1:29" ht="18.75">
      <c r="A2" s="359" t="s">
        <v>24</v>
      </c>
      <c r="B2" s="363" t="str">
        <f>IF(Scenario!B11="","Select a FMU in the 'Scenario' sheet",Scenario!B11)</f>
        <v>Waihī Estuary</v>
      </c>
      <c r="C2" s="363"/>
      <c r="D2" s="181"/>
      <c r="E2" s="18"/>
    </row>
    <row r="3" spans="1:29" ht="18.75">
      <c r="A3" s="359"/>
      <c r="B3" s="360" t="str">
        <f>Scenario!B12</f>
        <v/>
      </c>
      <c r="C3" s="360"/>
      <c r="D3" s="18"/>
      <c r="E3" s="18"/>
    </row>
    <row r="4" spans="1:29">
      <c r="A4" s="248" t="s">
        <v>17</v>
      </c>
      <c r="B4" s="361" t="s">
        <v>35</v>
      </c>
      <c r="C4" s="361"/>
      <c r="D4" s="361"/>
      <c r="E4" s="361"/>
      <c r="F4" s="361"/>
      <c r="G4" s="361"/>
      <c r="H4" s="361"/>
      <c r="I4" s="361"/>
      <c r="J4" s="361"/>
      <c r="K4" s="60"/>
      <c r="L4" s="60"/>
      <c r="M4" s="60"/>
      <c r="N4" s="60"/>
      <c r="O4" s="60"/>
    </row>
    <row r="5" spans="1:29">
      <c r="A5" s="248" t="s">
        <v>17</v>
      </c>
      <c r="B5" s="364" t="s">
        <v>36</v>
      </c>
      <c r="C5" s="364"/>
      <c r="D5" s="364"/>
      <c r="E5" s="364"/>
      <c r="F5" s="364"/>
      <c r="G5" s="364"/>
      <c r="H5" s="364"/>
      <c r="I5" s="364"/>
      <c r="J5" s="62"/>
      <c r="K5" s="62"/>
      <c r="L5" s="62"/>
      <c r="M5" s="62"/>
      <c r="N5" s="62"/>
      <c r="O5" s="62"/>
      <c r="P5" s="62"/>
    </row>
    <row r="6" spans="1:29" ht="30" customHeight="1">
      <c r="A6" s="183" t="s">
        <v>37</v>
      </c>
      <c r="B6" s="181"/>
      <c r="C6" s="181"/>
      <c r="D6" s="181"/>
      <c r="E6" s="181"/>
      <c r="F6" s="181"/>
      <c r="G6" s="181"/>
      <c r="H6" s="181"/>
      <c r="I6" s="181"/>
      <c r="J6" s="62"/>
      <c r="K6" s="62"/>
      <c r="L6" s="62"/>
      <c r="M6" s="62"/>
      <c r="N6" s="62"/>
      <c r="O6" s="62"/>
      <c r="P6" s="62"/>
    </row>
    <row r="7" spans="1:29" ht="15" customHeight="1">
      <c r="A7" s="248" t="s">
        <v>17</v>
      </c>
      <c r="B7" s="366" t="s">
        <v>38</v>
      </c>
      <c r="C7" s="366"/>
      <c r="D7" s="366"/>
      <c r="E7" s="366"/>
      <c r="F7" s="366"/>
      <c r="G7" s="366"/>
      <c r="H7" s="366"/>
      <c r="I7" s="366"/>
      <c r="J7" s="366"/>
    </row>
    <row r="8" spans="1:29">
      <c r="A8" s="248" t="s">
        <v>17</v>
      </c>
      <c r="B8" s="367" t="s">
        <v>39</v>
      </c>
      <c r="C8" s="367"/>
      <c r="D8" s="367"/>
      <c r="E8" s="367"/>
      <c r="F8" s="367"/>
      <c r="G8" s="367"/>
      <c r="H8" s="367"/>
      <c r="I8" s="367"/>
      <c r="J8" s="367"/>
    </row>
    <row r="9" spans="1:29" ht="33.75" customHeight="1">
      <c r="A9" s="248" t="s">
        <v>17</v>
      </c>
      <c r="B9" s="365" t="s">
        <v>40</v>
      </c>
      <c r="C9" s="365"/>
      <c r="D9" s="365"/>
      <c r="E9" s="365"/>
      <c r="F9" s="365"/>
      <c r="G9" s="365"/>
      <c r="H9" s="365"/>
      <c r="I9" s="365"/>
    </row>
    <row r="10" spans="1:29" s="16" customFormat="1" ht="30" customHeight="1">
      <c r="E10" s="268" t="e" vm="1">
        <v>#VALUE!</v>
      </c>
      <c r="F10" s="268" t="e" vm="2">
        <v>#VALUE!</v>
      </c>
      <c r="G10" s="268" t="e" vm="3">
        <v>#VALUE!</v>
      </c>
      <c r="H10" s="268" t="e" vm="4">
        <v>#VALUE!</v>
      </c>
      <c r="I10" s="268" t="e" vm="5">
        <v>#VALUE!</v>
      </c>
      <c r="J10" s="268" t="e" vm="6">
        <v>#VALUE!</v>
      </c>
      <c r="K10" s="268" t="e" vm="7">
        <v>#VALUE!</v>
      </c>
      <c r="L10" s="268" t="e" vm="8">
        <v>#VALUE!</v>
      </c>
      <c r="M10" s="268" t="e" vm="9">
        <v>#VALUE!</v>
      </c>
      <c r="N10" s="268" t="e" vm="10">
        <v>#VALUE!</v>
      </c>
      <c r="O10" s="268" t="e" vm="11">
        <v>#VALUE!</v>
      </c>
      <c r="P10" s="268" t="e" vm="12">
        <v>#VALUE!</v>
      </c>
      <c r="Q10" s="289" t="e" vm="13">
        <v>#VALUE!</v>
      </c>
      <c r="R10" s="289" t="e" vm="14">
        <v>#VALUE!</v>
      </c>
      <c r="S10" s="268" t="e" vm="15">
        <v>#VALUE!</v>
      </c>
      <c r="T10" s="268" t="e" vm="16">
        <v>#VALUE!</v>
      </c>
      <c r="U10" s="268" t="e" vm="17">
        <v>#VALUE!</v>
      </c>
      <c r="V10" s="268" t="e" vm="18">
        <v>#VALUE!</v>
      </c>
      <c r="W10" s="268" t="e" vm="19">
        <v>#VALUE!</v>
      </c>
      <c r="X10" s="268" t="e" vm="20">
        <v>#VALUE!</v>
      </c>
      <c r="Y10" s="268" t="e" vm="21">
        <v>#VALUE!</v>
      </c>
      <c r="Z10" s="268" t="e" vm="22">
        <v>#VALUE!</v>
      </c>
      <c r="AA10" s="20"/>
      <c r="AB10" s="20"/>
      <c r="AC10" s="20"/>
    </row>
    <row r="11" spans="1:29" s="15" customFormat="1" ht="113.25" customHeight="1" thickBot="1">
      <c r="B11" s="290" t="s">
        <v>41</v>
      </c>
      <c r="C11" s="290" t="s">
        <v>42</v>
      </c>
      <c r="D11" s="290" t="s">
        <v>43</v>
      </c>
      <c r="E11" s="200" t="s">
        <v>44</v>
      </c>
      <c r="F11" s="200" t="s">
        <v>45</v>
      </c>
      <c r="G11" s="200" t="s">
        <v>46</v>
      </c>
      <c r="H11" s="200" t="s">
        <v>47</v>
      </c>
      <c r="I11" s="200" t="s">
        <v>48</v>
      </c>
      <c r="J11" s="200" t="s">
        <v>49</v>
      </c>
      <c r="K11" s="200" t="s">
        <v>50</v>
      </c>
      <c r="L11" s="200" t="s">
        <v>51</v>
      </c>
      <c r="M11" s="200" t="s">
        <v>52</v>
      </c>
      <c r="N11" s="200" t="s">
        <v>53</v>
      </c>
      <c r="O11" s="200" t="s">
        <v>54</v>
      </c>
      <c r="P11" s="200" t="s">
        <v>55</v>
      </c>
      <c r="Q11" s="201" t="s">
        <v>56</v>
      </c>
      <c r="R11" s="201" t="s">
        <v>57</v>
      </c>
      <c r="S11" s="200" t="s">
        <v>58</v>
      </c>
      <c r="T11" s="200" t="s">
        <v>59</v>
      </c>
      <c r="U11" s="200" t="s">
        <v>60</v>
      </c>
      <c r="V11" s="200" t="s">
        <v>61</v>
      </c>
      <c r="W11" s="200" t="s">
        <v>62</v>
      </c>
      <c r="X11" s="200" t="s">
        <v>63</v>
      </c>
      <c r="Y11" s="200" t="s">
        <v>64</v>
      </c>
      <c r="Z11" s="200" t="s">
        <v>65</v>
      </c>
      <c r="AA11" s="201" t="str">
        <f>Scenario!B36</f>
        <v>Custom Land Use A</v>
      </c>
      <c r="AB11" s="201" t="str">
        <f>Scenario!B37</f>
        <v>Custom Land Use B</v>
      </c>
      <c r="AC11" s="201" t="str">
        <f>Scenario!B38</f>
        <v>Custom Land Use C</v>
      </c>
    </row>
    <row r="12" spans="1:29">
      <c r="B12" s="362" t="s">
        <v>66</v>
      </c>
      <c r="C12" s="17" t="s">
        <v>67</v>
      </c>
      <c r="D12" t="s">
        <v>68</v>
      </c>
      <c r="E12" s="273">
        <f>SUMIFS(Assumptions!$E14:$KZ14,Assumptions!$E$12:$KZ$12,$B$2,Assumptions!$E$13:$KZ$13,E$11)</f>
        <v>429</v>
      </c>
      <c r="F12" s="273">
        <f>SUMIFS(Assumptions!$E14:$KZ14,Assumptions!$E$12:$KZ$12,$B$2,Assumptions!$E$13:$KZ$13,F$11)</f>
        <v>608</v>
      </c>
      <c r="G12" s="273">
        <f>SUMIFS(Assumptions!$E14:$KZ14,Assumptions!$E$12:$KZ$12,$B$2,Assumptions!$E$13:$KZ$13,G$11)</f>
        <v>2421</v>
      </c>
      <c r="H12" s="273">
        <f>SUMIFS(Assumptions!$E14:$KZ14,Assumptions!$E$12:$KZ$12,$B$2,Assumptions!$E$13:$KZ$13,H$11)</f>
        <v>5764</v>
      </c>
      <c r="I12" s="273">
        <f>SUMIFS(Assumptions!$E14:$KZ14,Assumptions!$E$12:$KZ$12,$B$2,Assumptions!$E$13:$KZ$13,I$11)</f>
        <v>421</v>
      </c>
      <c r="J12" s="273">
        <f>SUMIFS(Assumptions!$E14:$KZ14,Assumptions!$E$12:$KZ$12,$B$2,Assumptions!$E$13:$KZ$13,J$11)</f>
        <v>1003</v>
      </c>
      <c r="K12" s="273">
        <f>SUMIFS(Assumptions!$E14:$KZ14,Assumptions!$E$12:$KZ$12,$B$2,Assumptions!$E$13:$KZ$13,K$11)</f>
        <v>190</v>
      </c>
      <c r="L12" s="273">
        <f>SUMIFS(Assumptions!$E14:$KZ14,Assumptions!$E$12:$KZ$12,$B$2,Assumptions!$E$13:$KZ$13,L$11)</f>
        <v>452</v>
      </c>
      <c r="M12" s="273">
        <f>SUMIFS(Assumptions!$E14:$KZ14,Assumptions!$E$12:$KZ$12,$B$2,Assumptions!$E$13:$KZ$13,M$11)</f>
        <v>3566</v>
      </c>
      <c r="N12" s="273">
        <f>SUMIFS(Assumptions!$E14:$KZ14,Assumptions!$E$12:$KZ$12,$B$2,Assumptions!$E$13:$KZ$13,N$11)</f>
        <v>72884</v>
      </c>
      <c r="O12" s="273">
        <f>SUMIFS(Assumptions!$E14:$KZ14,Assumptions!$E$12:$KZ$12,$B$2,Assumptions!$E$13:$KZ$13,O$11)</f>
        <v>18890</v>
      </c>
      <c r="P12" s="273">
        <f>SUMIFS(Assumptions!$E14:$KZ14,Assumptions!$E$12:$KZ$12,$B$2,Assumptions!$E$13:$KZ$13,P$11)</f>
        <v>355</v>
      </c>
      <c r="Q12" s="273">
        <f>SUMIFS(Assumptions!$E14:$KZ14,Assumptions!$E$12:$KZ$12,$B$2,Assumptions!$E$13:$KZ$13,Q$11)</f>
        <v>0</v>
      </c>
      <c r="R12" s="273">
        <f>SUMIFS(Assumptions!$E14:$KZ14,Assumptions!$E$12:$KZ$12,$B$2,Assumptions!$E$13:$KZ$13,R$11)</f>
        <v>0</v>
      </c>
      <c r="S12" s="273">
        <f>SUMIFS(Assumptions!$E14:$KZ14,Assumptions!$E$12:$KZ$12,$B$2,Assumptions!$E$13:$KZ$13,S$11)</f>
        <v>0</v>
      </c>
      <c r="T12" s="273">
        <f>SUMIFS(Assumptions!$E14:$KZ14,Assumptions!$E$12:$KZ$12,$B$2,Assumptions!$E$13:$KZ$13,T$11)</f>
        <v>0</v>
      </c>
      <c r="U12" s="273">
        <f>SUMIFS(Assumptions!$E14:$KZ14,Assumptions!$E$12:$KZ$12,$B$2,Assumptions!$E$13:$KZ$13,U$11)</f>
        <v>0</v>
      </c>
      <c r="V12" s="273">
        <f>SUMIFS(Assumptions!$E14:$KZ14,Assumptions!$E$12:$KZ$12,$B$2,Assumptions!$E$13:$KZ$13,V$11)</f>
        <v>0</v>
      </c>
      <c r="W12" s="273">
        <f>SUMIFS(Assumptions!$E14:$KZ14,Assumptions!$E$12:$KZ$12,$B$2,Assumptions!$E$13:$KZ$13,W$11)</f>
        <v>0</v>
      </c>
      <c r="X12" s="273">
        <f>SUMIFS(Assumptions!$E14:$KZ14,Assumptions!$E$12:$KZ$12,$B$2,Assumptions!$E$13:$KZ$13,X$11)</f>
        <v>0</v>
      </c>
      <c r="Y12" s="273">
        <f>SUMIFS(Assumptions!$E14:$KZ14,Assumptions!$E$12:$KZ$12,$B$2,Assumptions!$E$13:$KZ$13,Y$11)</f>
        <v>0</v>
      </c>
      <c r="Z12" s="273">
        <f>SUMIFS(Assumptions!$E14:$KZ14,Assumptions!$E$12:$KZ$12,$B$2,Assumptions!$E$13:$KZ$13,Z$11)</f>
        <v>0</v>
      </c>
      <c r="AA12" s="278"/>
      <c r="AB12" s="279"/>
      <c r="AC12" s="279"/>
    </row>
    <row r="13" spans="1:29" s="14" customFormat="1">
      <c r="B13" s="345"/>
      <c r="C13" s="139" t="s">
        <v>69</v>
      </c>
      <c r="D13" s="23" t="s">
        <v>68</v>
      </c>
      <c r="E13" s="273">
        <f>SUMIFS(Assumptions!$E15:$KZ15,Assumptions!$E$12:$KZ$12,$B$2,Assumptions!$E$13:$KZ$13,E$11)</f>
        <v>614</v>
      </c>
      <c r="F13" s="273">
        <f>SUMIFS(Assumptions!$E15:$KZ15,Assumptions!$E$12:$KZ$12,$B$2,Assumptions!$E$13:$KZ$13,F$11)</f>
        <v>872</v>
      </c>
      <c r="G13" s="273">
        <f>SUMIFS(Assumptions!$E15:$KZ15,Assumptions!$E$12:$KZ$12,$B$2,Assumptions!$E$13:$KZ$13,G$11)</f>
        <v>3302</v>
      </c>
      <c r="H13" s="273">
        <f>SUMIFS(Assumptions!$E15:$KZ15,Assumptions!$E$12:$KZ$12,$B$2,Assumptions!$E$13:$KZ$13,H$11)</f>
        <v>7862</v>
      </c>
      <c r="I13" s="273">
        <f>SUMIFS(Assumptions!$E15:$KZ15,Assumptions!$E$12:$KZ$12,$B$2,Assumptions!$E$13:$KZ$13,I$11)</f>
        <v>575</v>
      </c>
      <c r="J13" s="273">
        <f>SUMIFS(Assumptions!$E15:$KZ15,Assumptions!$E$12:$KZ$12,$B$2,Assumptions!$E$13:$KZ$13,J$11)</f>
        <v>1368</v>
      </c>
      <c r="K13" s="273">
        <f>SUMIFS(Assumptions!$E15:$KZ15,Assumptions!$E$12:$KZ$12,$B$2,Assumptions!$E$13:$KZ$13,K$11)</f>
        <v>293</v>
      </c>
      <c r="L13" s="273">
        <f>SUMIFS(Assumptions!$E15:$KZ15,Assumptions!$E$12:$KZ$12,$B$2,Assumptions!$E$13:$KZ$13,L$11)</f>
        <v>697</v>
      </c>
      <c r="M13" s="273">
        <f>SUMIFS(Assumptions!$E15:$KZ15,Assumptions!$E$12:$KZ$12,$B$2,Assumptions!$E$13:$KZ$13,M$11)</f>
        <v>5110</v>
      </c>
      <c r="N13" s="273">
        <f>SUMIFS(Assumptions!$E15:$KZ15,Assumptions!$E$12:$KZ$12,$B$2,Assumptions!$E$13:$KZ$13,N$11)</f>
        <v>115919</v>
      </c>
      <c r="O13" s="273">
        <f>SUMIFS(Assumptions!$E15:$KZ15,Assumptions!$E$12:$KZ$12,$B$2,Assumptions!$E$13:$KZ$13,O$11)</f>
        <v>30044</v>
      </c>
      <c r="P13" s="273">
        <f>SUMIFS(Assumptions!$E15:$KZ15,Assumptions!$E$12:$KZ$12,$B$2,Assumptions!$E$13:$KZ$13,P$11)</f>
        <v>755</v>
      </c>
      <c r="Q13" s="273">
        <f>SUMIFS(Assumptions!$E15:$KZ15,Assumptions!$E$12:$KZ$12,$B$2,Assumptions!$E$13:$KZ$13,Q$11)</f>
        <v>0</v>
      </c>
      <c r="R13" s="273">
        <f>SUMIFS(Assumptions!$E15:$KZ15,Assumptions!$E$12:$KZ$12,$B$2,Assumptions!$E$13:$KZ$13,R$11)</f>
        <v>0</v>
      </c>
      <c r="S13" s="273">
        <f>SUMIFS(Assumptions!$E15:$KZ15,Assumptions!$E$12:$KZ$12,$B$2,Assumptions!$E$13:$KZ$13,S$11)</f>
        <v>0</v>
      </c>
      <c r="T13" s="273">
        <f>SUMIFS(Assumptions!$E15:$KZ15,Assumptions!$E$12:$KZ$12,$B$2,Assumptions!$E$13:$KZ$13,T$11)</f>
        <v>0</v>
      </c>
      <c r="U13" s="273">
        <f>SUMIFS(Assumptions!$E15:$KZ15,Assumptions!$E$12:$KZ$12,$B$2,Assumptions!$E$13:$KZ$13,U$11)</f>
        <v>0</v>
      </c>
      <c r="V13" s="273">
        <f>SUMIFS(Assumptions!$E15:$KZ15,Assumptions!$E$12:$KZ$12,$B$2,Assumptions!$E$13:$KZ$13,V$11)</f>
        <v>0</v>
      </c>
      <c r="W13" s="273">
        <f>SUMIFS(Assumptions!$E15:$KZ15,Assumptions!$E$12:$KZ$12,$B$2,Assumptions!$E$13:$KZ$13,W$11)</f>
        <v>0</v>
      </c>
      <c r="X13" s="273">
        <f>SUMIFS(Assumptions!$E15:$KZ15,Assumptions!$E$12:$KZ$12,$B$2,Assumptions!$E$13:$KZ$13,X$11)</f>
        <v>0</v>
      </c>
      <c r="Y13" s="273">
        <f>SUMIFS(Assumptions!$E15:$KZ15,Assumptions!$E$12:$KZ$12,$B$2,Assumptions!$E$13:$KZ$13,Y$11)</f>
        <v>0</v>
      </c>
      <c r="Z13" s="273">
        <f>SUMIFS(Assumptions!$E15:$KZ15,Assumptions!$E$12:$KZ$12,$B$2,Assumptions!$E$13:$KZ$13,Z$11)</f>
        <v>0</v>
      </c>
      <c r="AA13" s="278"/>
      <c r="AB13" s="279"/>
      <c r="AC13" s="279"/>
    </row>
    <row r="14" spans="1:29" s="14" customFormat="1">
      <c r="B14" s="345"/>
      <c r="C14" s="139" t="s">
        <v>70</v>
      </c>
      <c r="D14" s="23" t="s">
        <v>68</v>
      </c>
      <c r="E14" s="273">
        <f>SUMIFS(Assumptions!$E16:$KZ16,Assumptions!$E$12:$KZ$12,$B$2,Assumptions!$E$13:$KZ$13,E$11)</f>
        <v>745</v>
      </c>
      <c r="F14" s="273">
        <f>SUMIFS(Assumptions!$E16:$KZ16,Assumptions!$E$12:$KZ$12,$B$2,Assumptions!$E$13:$KZ$13,F$11)</f>
        <v>1057</v>
      </c>
      <c r="G14" s="273">
        <f>SUMIFS(Assumptions!$E16:$KZ16,Assumptions!$E$12:$KZ$12,$B$2,Assumptions!$E$13:$KZ$13,G$11)</f>
        <v>4106</v>
      </c>
      <c r="H14" s="273">
        <f>SUMIFS(Assumptions!$E16:$KZ16,Assumptions!$E$12:$KZ$12,$B$2,Assumptions!$E$13:$KZ$13,H$11)</f>
        <v>9777</v>
      </c>
      <c r="I14" s="273">
        <f>SUMIFS(Assumptions!$E16:$KZ16,Assumptions!$E$12:$KZ$12,$B$2,Assumptions!$E$13:$KZ$13,I$11)</f>
        <v>715</v>
      </c>
      <c r="J14" s="273">
        <f>SUMIFS(Assumptions!$E16:$KZ16,Assumptions!$E$12:$KZ$12,$B$2,Assumptions!$E$13:$KZ$13,J$11)</f>
        <v>1701</v>
      </c>
      <c r="K14" s="273">
        <f>SUMIFS(Assumptions!$E16:$KZ16,Assumptions!$E$12:$KZ$12,$B$2,Assumptions!$E$13:$KZ$13,K$11)</f>
        <v>367</v>
      </c>
      <c r="L14" s="273">
        <f>SUMIFS(Assumptions!$E16:$KZ16,Assumptions!$E$12:$KZ$12,$B$2,Assumptions!$E$13:$KZ$13,L$11)</f>
        <v>874</v>
      </c>
      <c r="M14" s="273">
        <f>SUMIFS(Assumptions!$E16:$KZ16,Assumptions!$E$12:$KZ$12,$B$2,Assumptions!$E$13:$KZ$13,M$11)</f>
        <v>6194</v>
      </c>
      <c r="N14" s="273">
        <f>SUMIFS(Assumptions!$E16:$KZ16,Assumptions!$E$12:$KZ$12,$B$2,Assumptions!$E$13:$KZ$13,N$11)</f>
        <v>147212</v>
      </c>
      <c r="O14" s="273">
        <f>SUMIFS(Assumptions!$E16:$KZ16,Assumptions!$E$12:$KZ$12,$B$2,Assumptions!$E$13:$KZ$13,O$11)</f>
        <v>38155</v>
      </c>
      <c r="P14" s="273">
        <f>SUMIFS(Assumptions!$E16:$KZ16,Assumptions!$E$12:$KZ$12,$B$2,Assumptions!$E$13:$KZ$13,P$11)</f>
        <v>955</v>
      </c>
      <c r="Q14" s="273">
        <f>SUMIFS(Assumptions!$E16:$KZ16,Assumptions!$E$12:$KZ$12,$B$2,Assumptions!$E$13:$KZ$13,Q$11)</f>
        <v>0</v>
      </c>
      <c r="R14" s="273">
        <f>SUMIFS(Assumptions!$E16:$KZ16,Assumptions!$E$12:$KZ$12,$B$2,Assumptions!$E$13:$KZ$13,R$11)</f>
        <v>0</v>
      </c>
      <c r="S14" s="273">
        <f>SUMIFS(Assumptions!$E16:$KZ16,Assumptions!$E$12:$KZ$12,$B$2,Assumptions!$E$13:$KZ$13,S$11)</f>
        <v>0</v>
      </c>
      <c r="T14" s="273">
        <f>SUMIFS(Assumptions!$E16:$KZ16,Assumptions!$E$12:$KZ$12,$B$2,Assumptions!$E$13:$KZ$13,T$11)</f>
        <v>0</v>
      </c>
      <c r="U14" s="273">
        <f>SUMIFS(Assumptions!$E16:$KZ16,Assumptions!$E$12:$KZ$12,$B$2,Assumptions!$E$13:$KZ$13,U$11)</f>
        <v>0</v>
      </c>
      <c r="V14" s="273">
        <f>SUMIFS(Assumptions!$E16:$KZ16,Assumptions!$E$12:$KZ$12,$B$2,Assumptions!$E$13:$KZ$13,V$11)</f>
        <v>0</v>
      </c>
      <c r="W14" s="273">
        <f>SUMIFS(Assumptions!$E16:$KZ16,Assumptions!$E$12:$KZ$12,$B$2,Assumptions!$E$13:$KZ$13,W$11)</f>
        <v>0</v>
      </c>
      <c r="X14" s="273">
        <f>SUMIFS(Assumptions!$E16:$KZ16,Assumptions!$E$12:$KZ$12,$B$2,Assumptions!$E$13:$KZ$13,X$11)</f>
        <v>0</v>
      </c>
      <c r="Y14" s="273">
        <f>SUMIFS(Assumptions!$E16:$KZ16,Assumptions!$E$12:$KZ$12,$B$2,Assumptions!$E$13:$KZ$13,Y$11)</f>
        <v>0</v>
      </c>
      <c r="Z14" s="273">
        <f>SUMIFS(Assumptions!$E16:$KZ16,Assumptions!$E$12:$KZ$12,$B$2,Assumptions!$E$13:$KZ$13,Z$11)</f>
        <v>0</v>
      </c>
      <c r="AA14" s="278"/>
      <c r="AB14" s="279"/>
      <c r="AC14" s="279"/>
    </row>
    <row r="15" spans="1:29" s="23" customFormat="1">
      <c r="B15" s="345"/>
      <c r="C15" s="139" t="s">
        <v>71</v>
      </c>
      <c r="D15" s="23" t="s">
        <v>72</v>
      </c>
      <c r="E15" s="274">
        <f>SUMIFS(Assumptions!$E17:$KZ17,Assumptions!$E$12:$KZ$12,$B$2,Assumptions!$E$13:$KZ$13,E$11)</f>
        <v>3.2000000000000002E-3</v>
      </c>
      <c r="F15" s="274">
        <f>SUMIFS(Assumptions!$E17:$KZ17,Assumptions!$E$12:$KZ$12,$B$2,Assumptions!$E$13:$KZ$13,F$11)</f>
        <v>4.4999999999999997E-3</v>
      </c>
      <c r="G15" s="274">
        <f>SUMIFS(Assumptions!$E17:$KZ17,Assumptions!$E$12:$KZ$12,$B$2,Assumptions!$E$13:$KZ$13,G$11)</f>
        <v>1.18E-2</v>
      </c>
      <c r="H15" s="274">
        <f>SUMIFS(Assumptions!$E17:$KZ17,Assumptions!$E$12:$KZ$12,$B$2,Assumptions!$E$13:$KZ$13,H$11)</f>
        <v>2.81E-2</v>
      </c>
      <c r="I15" s="274">
        <f>SUMIFS(Assumptions!$E17:$KZ17,Assumptions!$E$12:$KZ$12,$B$2,Assumptions!$E$13:$KZ$13,I$11)</f>
        <v>2.0999999999999999E-3</v>
      </c>
      <c r="J15" s="274">
        <f>SUMIFS(Assumptions!$E17:$KZ17,Assumptions!$E$12:$KZ$12,$B$2,Assumptions!$E$13:$KZ$13,J$11)</f>
        <v>4.8999999999999998E-3</v>
      </c>
      <c r="K15" s="274">
        <f>SUMIFS(Assumptions!$E17:$KZ17,Assumptions!$E$12:$KZ$12,$B$2,Assumptions!$E$13:$KZ$13,K$11)</f>
        <v>3.5000000000000001E-3</v>
      </c>
      <c r="L15" s="274">
        <f>SUMIFS(Assumptions!$E17:$KZ17,Assumptions!$E$12:$KZ$12,$B$2,Assumptions!$E$13:$KZ$13,L$11)</f>
        <v>8.3999999999999995E-3</v>
      </c>
      <c r="M15" s="274">
        <f>SUMIFS(Assumptions!$E17:$KZ17,Assumptions!$E$12:$KZ$12,$B$2,Assumptions!$E$13:$KZ$13,M$11)</f>
        <v>2.64E-2</v>
      </c>
      <c r="N15" s="274">
        <f>SUMIFS(Assumptions!$E17:$KZ17,Assumptions!$E$12:$KZ$12,$B$2,Assumptions!$E$13:$KZ$13,N$11)</f>
        <v>0.35289999999999999</v>
      </c>
      <c r="O15" s="274">
        <f>SUMIFS(Assumptions!$E17:$KZ17,Assumptions!$E$12:$KZ$12,$B$2,Assumptions!$E$13:$KZ$13,O$11)</f>
        <v>9.1499999999999998E-2</v>
      </c>
      <c r="P15" s="274">
        <f>SUMIFS(Assumptions!$E17:$KZ17,Assumptions!$E$12:$KZ$12,$B$2,Assumptions!$E$13:$KZ$13,P$11)</f>
        <v>4.0000000000000002E-4</v>
      </c>
      <c r="Q15" s="274">
        <f>SUMIFS(Assumptions!$E17:$KZ17,Assumptions!$E$12:$KZ$12,$B$2,Assumptions!$E$13:$KZ$13,Q$11)</f>
        <v>0</v>
      </c>
      <c r="R15" s="274">
        <f>SUMIFS(Assumptions!$E17:$KZ17,Assumptions!$E$12:$KZ$12,$B$2,Assumptions!$E$13:$KZ$13,R$11)</f>
        <v>0</v>
      </c>
      <c r="S15" s="274">
        <f>SUMIFS(Assumptions!$E17:$KZ17,Assumptions!$E$12:$KZ$12,$B$2,Assumptions!$E$13:$KZ$13,S$11)</f>
        <v>0</v>
      </c>
      <c r="T15" s="274">
        <f>SUMIFS(Assumptions!$E17:$KZ17,Assumptions!$E$12:$KZ$12,$B$2,Assumptions!$E$13:$KZ$13,T$11)</f>
        <v>0</v>
      </c>
      <c r="U15" s="274">
        <f>SUMIFS(Assumptions!$E17:$KZ17,Assumptions!$E$12:$KZ$12,$B$2,Assumptions!$E$13:$KZ$13,U$11)</f>
        <v>0</v>
      </c>
      <c r="V15" s="274">
        <f>SUMIFS(Assumptions!$E17:$KZ17,Assumptions!$E$12:$KZ$12,$B$2,Assumptions!$E$13:$KZ$13,V$11)</f>
        <v>0</v>
      </c>
      <c r="W15" s="274">
        <f>SUMIFS(Assumptions!$E17:$KZ17,Assumptions!$E$12:$KZ$12,$B$2,Assumptions!$E$13:$KZ$13,W$11)</f>
        <v>0</v>
      </c>
      <c r="X15" s="274">
        <f>SUMIFS(Assumptions!$E17:$KZ17,Assumptions!$E$12:$KZ$12,$B$2,Assumptions!$E$13:$KZ$13,X$11)</f>
        <v>0</v>
      </c>
      <c r="Y15" s="274">
        <f>SUMIFS(Assumptions!$E17:$KZ17,Assumptions!$E$12:$KZ$12,$B$2,Assumptions!$E$13:$KZ$13,Y$11)</f>
        <v>0</v>
      </c>
      <c r="Z15" s="274">
        <f>SUMIFS(Assumptions!$E17:$KZ17,Assumptions!$E$12:$KZ$12,$B$2,Assumptions!$E$13:$KZ$13,Z$11)</f>
        <v>0</v>
      </c>
      <c r="AA15" s="280"/>
      <c r="AB15" s="280"/>
      <c r="AC15" s="280"/>
    </row>
    <row r="16" spans="1:29" s="14" customFormat="1">
      <c r="B16" s="345"/>
      <c r="C16" s="139" t="s">
        <v>73</v>
      </c>
      <c r="D16" s="23" t="s">
        <v>72</v>
      </c>
      <c r="E16" s="274">
        <f>SUMIFS(Assumptions!$E18:$KZ18,Assumptions!$E$12:$KZ$12,$B$2,Assumptions!$E$13:$KZ$13,E$11)</f>
        <v>5.0000000000000001E-3</v>
      </c>
      <c r="F16" s="274">
        <f>SUMIFS(Assumptions!$E18:$KZ18,Assumptions!$E$12:$KZ$12,$B$2,Assumptions!$E$13:$KZ$13,F$11)</f>
        <v>7.1000000000000004E-3</v>
      </c>
      <c r="G16" s="274">
        <f>SUMIFS(Assumptions!$E18:$KZ18,Assumptions!$E$12:$KZ$12,$B$2,Assumptions!$E$13:$KZ$13,G$11)</f>
        <v>2.07E-2</v>
      </c>
      <c r="H16" s="274">
        <f>SUMIFS(Assumptions!$E18:$KZ18,Assumptions!$E$12:$KZ$12,$B$2,Assumptions!$E$13:$KZ$13,H$11)</f>
        <v>4.9200000000000001E-2</v>
      </c>
      <c r="I16" s="274">
        <f>SUMIFS(Assumptions!$E18:$KZ18,Assumptions!$E$12:$KZ$12,$B$2,Assumptions!$E$13:$KZ$13,I$11)</f>
        <v>3.5999999999999999E-3</v>
      </c>
      <c r="J16" s="274">
        <f>SUMIFS(Assumptions!$E18:$KZ18,Assumptions!$E$12:$KZ$12,$B$2,Assumptions!$E$13:$KZ$13,J$11)</f>
        <v>8.6E-3</v>
      </c>
      <c r="K16" s="274">
        <f>SUMIFS(Assumptions!$E18:$KZ18,Assumptions!$E$12:$KZ$12,$B$2,Assumptions!$E$13:$KZ$13,K$11)</f>
        <v>4.5999999999999999E-3</v>
      </c>
      <c r="L16" s="274">
        <f>SUMIFS(Assumptions!$E18:$KZ18,Assumptions!$E$12:$KZ$12,$B$2,Assumptions!$E$13:$KZ$13,L$11)</f>
        <v>1.0999999999999999E-2</v>
      </c>
      <c r="M16" s="274">
        <f>SUMIFS(Assumptions!$E18:$KZ18,Assumptions!$E$12:$KZ$12,$B$2,Assumptions!$E$13:$KZ$13,M$11)</f>
        <v>4.1799999999999997E-2</v>
      </c>
      <c r="N16" s="274">
        <f>SUMIFS(Assumptions!$E18:$KZ18,Assumptions!$E$12:$KZ$12,$B$2,Assumptions!$E$13:$KZ$13,N$11)</f>
        <v>0.84250000000000003</v>
      </c>
      <c r="O16" s="274">
        <f>SUMIFS(Assumptions!$E18:$KZ18,Assumptions!$E$12:$KZ$12,$B$2,Assumptions!$E$13:$KZ$13,O$11)</f>
        <v>0.21840000000000001</v>
      </c>
      <c r="P16" s="274">
        <f>SUMIFS(Assumptions!$E18:$KZ18,Assumptions!$E$12:$KZ$12,$B$2,Assumptions!$E$13:$KZ$13,P$11)</f>
        <v>4.1000000000000003E-3</v>
      </c>
      <c r="Q16" s="274">
        <f>SUMIFS(Assumptions!$E18:$KZ18,Assumptions!$E$12:$KZ$12,$B$2,Assumptions!$E$13:$KZ$13,Q$11)</f>
        <v>0</v>
      </c>
      <c r="R16" s="274">
        <f>SUMIFS(Assumptions!$E18:$KZ18,Assumptions!$E$12:$KZ$12,$B$2,Assumptions!$E$13:$KZ$13,R$11)</f>
        <v>0</v>
      </c>
      <c r="S16" s="274">
        <f>SUMIFS(Assumptions!$E18:$KZ18,Assumptions!$E$12:$KZ$12,$B$2,Assumptions!$E$13:$KZ$13,S$11)</f>
        <v>0</v>
      </c>
      <c r="T16" s="274">
        <f>SUMIFS(Assumptions!$E18:$KZ18,Assumptions!$E$12:$KZ$12,$B$2,Assumptions!$E$13:$KZ$13,T$11)</f>
        <v>0</v>
      </c>
      <c r="U16" s="274">
        <f>SUMIFS(Assumptions!$E18:$KZ18,Assumptions!$E$12:$KZ$12,$B$2,Assumptions!$E$13:$KZ$13,U$11)</f>
        <v>0</v>
      </c>
      <c r="V16" s="274">
        <f>SUMIFS(Assumptions!$E18:$KZ18,Assumptions!$E$12:$KZ$12,$B$2,Assumptions!$E$13:$KZ$13,V$11)</f>
        <v>0</v>
      </c>
      <c r="W16" s="274">
        <f>SUMIFS(Assumptions!$E18:$KZ18,Assumptions!$E$12:$KZ$12,$B$2,Assumptions!$E$13:$KZ$13,W$11)</f>
        <v>0</v>
      </c>
      <c r="X16" s="274">
        <f>SUMIFS(Assumptions!$E18:$KZ18,Assumptions!$E$12:$KZ$12,$B$2,Assumptions!$E$13:$KZ$13,X$11)</f>
        <v>0</v>
      </c>
      <c r="Y16" s="274">
        <f>SUMIFS(Assumptions!$E18:$KZ18,Assumptions!$E$12:$KZ$12,$B$2,Assumptions!$E$13:$KZ$13,Y$11)</f>
        <v>0</v>
      </c>
      <c r="Z16" s="274">
        <f>SUMIFS(Assumptions!$E18:$KZ18,Assumptions!$E$12:$KZ$12,$B$2,Assumptions!$E$13:$KZ$13,Z$11)</f>
        <v>0</v>
      </c>
      <c r="AA16" s="280"/>
      <c r="AB16" s="281"/>
      <c r="AC16" s="281"/>
    </row>
    <row r="17" spans="2:29" s="14" customFormat="1">
      <c r="B17" s="345"/>
      <c r="C17" s="139" t="s">
        <v>74</v>
      </c>
      <c r="D17" s="23" t="s">
        <v>72</v>
      </c>
      <c r="E17" s="274">
        <f>SUMIFS(Assumptions!$E19:$KZ19,Assumptions!$E$12:$KZ$12,$B$2,Assumptions!$E$13:$KZ$13,E$11)</f>
        <v>5.8999999999999999E-3</v>
      </c>
      <c r="F17" s="274">
        <f>SUMIFS(Assumptions!$E19:$KZ19,Assumptions!$E$12:$KZ$12,$B$2,Assumptions!$E$13:$KZ$13,F$11)</f>
        <v>8.3999999999999995E-3</v>
      </c>
      <c r="G17" s="274">
        <f>SUMIFS(Assumptions!$E19:$KZ19,Assumptions!$E$12:$KZ$12,$B$2,Assumptions!$E$13:$KZ$13,G$11)</f>
        <v>2.6100000000000002E-2</v>
      </c>
      <c r="H17" s="274">
        <f>SUMIFS(Assumptions!$E19:$KZ19,Assumptions!$E$12:$KZ$12,$B$2,Assumptions!$E$13:$KZ$13,H$11)</f>
        <v>6.2100000000000002E-2</v>
      </c>
      <c r="I17" s="274">
        <f>SUMIFS(Assumptions!$E19:$KZ19,Assumptions!$E$12:$KZ$12,$B$2,Assumptions!$E$13:$KZ$13,I$11)</f>
        <v>4.4999999999999997E-3</v>
      </c>
      <c r="J17" s="274">
        <f>SUMIFS(Assumptions!$E19:$KZ19,Assumptions!$E$12:$KZ$12,$B$2,Assumptions!$E$13:$KZ$13,J$11)</f>
        <v>1.0800000000000001E-2</v>
      </c>
      <c r="K17" s="274">
        <f>SUMIFS(Assumptions!$E19:$KZ19,Assumptions!$E$12:$KZ$12,$B$2,Assumptions!$E$13:$KZ$13,K$11)</f>
        <v>5.1000000000000004E-3</v>
      </c>
      <c r="L17" s="274">
        <f>SUMIFS(Assumptions!$E19:$KZ19,Assumptions!$E$12:$KZ$12,$B$2,Assumptions!$E$13:$KZ$13,L$11)</f>
        <v>1.2200000000000001E-2</v>
      </c>
      <c r="M17" s="274">
        <f>SUMIFS(Assumptions!$E19:$KZ19,Assumptions!$E$12:$KZ$12,$B$2,Assumptions!$E$13:$KZ$13,M$11)</f>
        <v>4.9200000000000001E-2</v>
      </c>
      <c r="N17" s="274">
        <f>SUMIFS(Assumptions!$E19:$KZ19,Assumptions!$E$12:$KZ$12,$B$2,Assumptions!$E$13:$KZ$13,N$11)</f>
        <v>1.0563</v>
      </c>
      <c r="O17" s="274">
        <f>SUMIFS(Assumptions!$E19:$KZ19,Assumptions!$E$12:$KZ$12,$B$2,Assumptions!$E$13:$KZ$13,O$11)</f>
        <v>0.27379999999999999</v>
      </c>
      <c r="P17" s="274">
        <f>SUMIFS(Assumptions!$E19:$KZ19,Assumptions!$E$12:$KZ$12,$B$2,Assumptions!$E$13:$KZ$13,P$11)</f>
        <v>5.4999999999999997E-3</v>
      </c>
      <c r="Q17" s="274">
        <f>SUMIFS(Assumptions!$E19:$KZ19,Assumptions!$E$12:$KZ$12,$B$2,Assumptions!$E$13:$KZ$13,Q$11)</f>
        <v>0</v>
      </c>
      <c r="R17" s="274">
        <f>SUMIFS(Assumptions!$E19:$KZ19,Assumptions!$E$12:$KZ$12,$B$2,Assumptions!$E$13:$KZ$13,R$11)</f>
        <v>0</v>
      </c>
      <c r="S17" s="274">
        <f>SUMIFS(Assumptions!$E19:$KZ19,Assumptions!$E$12:$KZ$12,$B$2,Assumptions!$E$13:$KZ$13,S$11)</f>
        <v>0</v>
      </c>
      <c r="T17" s="274">
        <f>SUMIFS(Assumptions!$E19:$KZ19,Assumptions!$E$12:$KZ$12,$B$2,Assumptions!$E$13:$KZ$13,T$11)</f>
        <v>0</v>
      </c>
      <c r="U17" s="274">
        <f>SUMIFS(Assumptions!$E19:$KZ19,Assumptions!$E$12:$KZ$12,$B$2,Assumptions!$E$13:$KZ$13,U$11)</f>
        <v>0</v>
      </c>
      <c r="V17" s="274">
        <f>SUMIFS(Assumptions!$E19:$KZ19,Assumptions!$E$12:$KZ$12,$B$2,Assumptions!$E$13:$KZ$13,V$11)</f>
        <v>0</v>
      </c>
      <c r="W17" s="274">
        <f>SUMIFS(Assumptions!$E19:$KZ19,Assumptions!$E$12:$KZ$12,$B$2,Assumptions!$E$13:$KZ$13,W$11)</f>
        <v>0</v>
      </c>
      <c r="X17" s="274">
        <f>SUMIFS(Assumptions!$E19:$KZ19,Assumptions!$E$12:$KZ$12,$B$2,Assumptions!$E$13:$KZ$13,X$11)</f>
        <v>0</v>
      </c>
      <c r="Y17" s="274">
        <f>SUMIFS(Assumptions!$E19:$KZ19,Assumptions!$E$12:$KZ$12,$B$2,Assumptions!$E$13:$KZ$13,Y$11)</f>
        <v>0</v>
      </c>
      <c r="Z17" s="274">
        <f>SUMIFS(Assumptions!$E19:$KZ19,Assumptions!$E$12:$KZ$12,$B$2,Assumptions!$E$13:$KZ$13,Z$11)</f>
        <v>0</v>
      </c>
      <c r="AA17" s="280"/>
      <c r="AB17" s="281"/>
      <c r="AC17" s="281"/>
    </row>
    <row r="18" spans="2:29" s="23" customFormat="1">
      <c r="B18" s="345"/>
      <c r="C18" s="139" t="s">
        <v>75</v>
      </c>
      <c r="D18" s="23" t="s">
        <v>76</v>
      </c>
      <c r="E18" s="273">
        <f>SUMIFS(Assumptions!$E20:$KZ20,Assumptions!$E$12:$KZ$12,$B$2,Assumptions!$E$13:$KZ$13,E$11)</f>
        <v>16314</v>
      </c>
      <c r="F18" s="273">
        <f>SUMIFS(Assumptions!$E20:$KZ20,Assumptions!$E$12:$KZ$12,$B$2,Assumptions!$E$13:$KZ$13,F$11)</f>
        <v>16314</v>
      </c>
      <c r="G18" s="273">
        <f>SUMIFS(Assumptions!$E20:$KZ20,Assumptions!$E$12:$KZ$12,$B$2,Assumptions!$E$13:$KZ$13,G$11)</f>
        <v>52524</v>
      </c>
      <c r="H18" s="273">
        <f>SUMIFS(Assumptions!$E20:$KZ20,Assumptions!$E$12:$KZ$12,$B$2,Assumptions!$E$13:$KZ$13,H$11)</f>
        <v>52524</v>
      </c>
      <c r="I18" s="273">
        <f>SUMIFS(Assumptions!$E20:$KZ20,Assumptions!$E$12:$KZ$12,$B$2,Assumptions!$E$13:$KZ$13,I$11)</f>
        <v>16314</v>
      </c>
      <c r="J18" s="273">
        <f>SUMIFS(Assumptions!$E20:$KZ20,Assumptions!$E$12:$KZ$12,$B$2,Assumptions!$E$13:$KZ$13,J$11)</f>
        <v>16314</v>
      </c>
      <c r="K18" s="273">
        <f>SUMIFS(Assumptions!$E20:$KZ20,Assumptions!$E$12:$KZ$12,$B$2,Assumptions!$E$13:$KZ$13,K$11)</f>
        <v>48966</v>
      </c>
      <c r="L18" s="273">
        <f>SUMIFS(Assumptions!$E20:$KZ20,Assumptions!$E$12:$KZ$12,$B$2,Assumptions!$E$13:$KZ$13,L$11)</f>
        <v>48966</v>
      </c>
      <c r="M18" s="273">
        <f>SUMIFS(Assumptions!$E20:$KZ20,Assumptions!$E$12:$KZ$12,$B$2,Assumptions!$E$13:$KZ$13,M$11)</f>
        <v>124485</v>
      </c>
      <c r="N18" s="273">
        <f>SUMIFS(Assumptions!$E20:$KZ20,Assumptions!$E$12:$KZ$12,$B$2,Assumptions!$E$13:$KZ$13,N$11)</f>
        <v>254093</v>
      </c>
      <c r="O18" s="273">
        <f>SUMIFS(Assumptions!$E20:$KZ20,Assumptions!$E$12:$KZ$12,$B$2,Assumptions!$E$13:$KZ$13,O$11)</f>
        <v>219906</v>
      </c>
      <c r="P18" s="273">
        <f>SUMIFS(Assumptions!$E20:$KZ20,Assumptions!$E$12:$KZ$12,$B$2,Assumptions!$E$13:$KZ$13,P$11)</f>
        <v>5343</v>
      </c>
      <c r="Q18" s="273">
        <f>SUMIFS(Assumptions!$E20:$KZ20,Assumptions!$E$12:$KZ$12,$B$2,Assumptions!$E$13:$KZ$13,Q$11)</f>
        <v>1347</v>
      </c>
      <c r="R18" s="273">
        <f>SUMIFS(Assumptions!$E20:$KZ20,Assumptions!$E$12:$KZ$12,$B$2,Assumptions!$E$13:$KZ$13,R$11)</f>
        <v>1347</v>
      </c>
      <c r="S18" s="273">
        <f>SUMIFS(Assumptions!$E20:$KZ20,Assumptions!$E$12:$KZ$12,$B$2,Assumptions!$E$13:$KZ$13,S$11)</f>
        <v>13852</v>
      </c>
      <c r="T18" s="273">
        <f>SUMIFS(Assumptions!$E20:$KZ20,Assumptions!$E$12:$KZ$12,$B$2,Assumptions!$E$13:$KZ$13,T$11)</f>
        <v>0</v>
      </c>
      <c r="U18" s="273">
        <f>SUMIFS(Assumptions!$E20:$KZ20,Assumptions!$E$12:$KZ$12,$B$2,Assumptions!$E$13:$KZ$13,U$11)</f>
        <v>6069916</v>
      </c>
      <c r="V18" s="273">
        <f>SUMIFS(Assumptions!$E20:$KZ20,Assumptions!$E$12:$KZ$12,$B$2,Assumptions!$E$13:$KZ$13,V$11)</f>
        <v>427709</v>
      </c>
      <c r="W18" s="273">
        <f>SUMIFS(Assumptions!$E20:$KZ20,Assumptions!$E$12:$KZ$12,$B$2,Assumptions!$E$13:$KZ$13,W$11)</f>
        <v>427709</v>
      </c>
      <c r="X18" s="273">
        <f>SUMIFS(Assumptions!$E20:$KZ20,Assumptions!$E$12:$KZ$12,$B$2,Assumptions!$E$13:$KZ$13,X$11)</f>
        <v>0</v>
      </c>
      <c r="Y18" s="273">
        <f>SUMIFS(Assumptions!$E20:$KZ20,Assumptions!$E$12:$KZ$12,$B$2,Assumptions!$E$13:$KZ$13,Y$11)</f>
        <v>111219</v>
      </c>
      <c r="Z18" s="273">
        <f>SUMIFS(Assumptions!$E20:$KZ20,Assumptions!$E$12:$KZ$12,$B$2,Assumptions!$E$13:$KZ$13,Z$11)</f>
        <v>0</v>
      </c>
      <c r="AA18" s="278"/>
      <c r="AB18" s="278"/>
      <c r="AC18" s="278"/>
    </row>
    <row r="19" spans="2:29" s="23" customFormat="1">
      <c r="B19" s="347"/>
      <c r="C19" s="202" t="s">
        <v>77</v>
      </c>
      <c r="D19" s="127" t="s">
        <v>78</v>
      </c>
      <c r="E19" s="275">
        <f>SUMIFS(Assumptions!$E21:$KZ21,Assumptions!$E$12:$KZ$12,$B$2,Assumptions!$E$13:$KZ$13,E$11)</f>
        <v>49769</v>
      </c>
      <c r="F19" s="275">
        <f>SUMIFS(Assumptions!$E21:$KZ21,Assumptions!$E$12:$KZ$12,$B$2,Assumptions!$E$13:$KZ$13,F$11)</f>
        <v>49769</v>
      </c>
      <c r="G19" s="275">
        <f>SUMIFS(Assumptions!$E21:$KZ21,Assumptions!$E$12:$KZ$12,$B$2,Assumptions!$E$13:$KZ$13,G$11)</f>
        <v>58712</v>
      </c>
      <c r="H19" s="275">
        <f>SUMIFS(Assumptions!$E21:$KZ21,Assumptions!$E$12:$KZ$12,$B$2,Assumptions!$E$13:$KZ$13,H$11)</f>
        <v>58712</v>
      </c>
      <c r="I19" s="275">
        <f>SUMIFS(Assumptions!$E21:$KZ21,Assumptions!$E$12:$KZ$12,$B$2,Assumptions!$E$13:$KZ$13,I$11)</f>
        <v>48972</v>
      </c>
      <c r="J19" s="275">
        <f>SUMIFS(Assumptions!$E21:$KZ21,Assumptions!$E$12:$KZ$12,$B$2,Assumptions!$E$13:$KZ$13,J$11)</f>
        <v>48972</v>
      </c>
      <c r="K19" s="275">
        <f>SUMIFS(Assumptions!$E21:$KZ21,Assumptions!$E$12:$KZ$12,$B$2,Assumptions!$E$13:$KZ$13,K$11)</f>
        <v>50292</v>
      </c>
      <c r="L19" s="275">
        <f>SUMIFS(Assumptions!$E21:$KZ21,Assumptions!$E$12:$KZ$12,$B$2,Assumptions!$E$13:$KZ$13,L$11)</f>
        <v>50292</v>
      </c>
      <c r="M19" s="275">
        <f>SUMIFS(Assumptions!$E21:$KZ21,Assumptions!$E$12:$KZ$12,$B$2,Assumptions!$E$13:$KZ$13,M$11)</f>
        <v>37270</v>
      </c>
      <c r="N19" s="275">
        <f>SUMIFS(Assumptions!$E21:$KZ21,Assumptions!$E$12:$KZ$12,$B$2,Assumptions!$E$13:$KZ$13,N$11)</f>
        <v>38304</v>
      </c>
      <c r="O19" s="275">
        <f>SUMIFS(Assumptions!$E21:$KZ21,Assumptions!$E$12:$KZ$12,$B$2,Assumptions!$E$13:$KZ$13,O$11)</f>
        <v>38304</v>
      </c>
      <c r="P19" s="275">
        <f>SUMIFS(Assumptions!$E21:$KZ21,Assumptions!$E$12:$KZ$12,$B$2,Assumptions!$E$13:$KZ$13,P$11)</f>
        <v>79085</v>
      </c>
      <c r="Q19" s="275">
        <f>SUMIFS(Assumptions!$E21:$KZ21,Assumptions!$E$12:$KZ$12,$B$2,Assumptions!$E$13:$KZ$13,Q$11)</f>
        <v>0</v>
      </c>
      <c r="R19" s="275">
        <f>SUMIFS(Assumptions!$E21:$KZ21,Assumptions!$E$12:$KZ$12,$B$2,Assumptions!$E$13:$KZ$13,R$11)</f>
        <v>0</v>
      </c>
      <c r="S19" s="275">
        <f>SUMIFS(Assumptions!$E21:$KZ21,Assumptions!$E$12:$KZ$12,$B$2,Assumptions!$E$13:$KZ$13,S$11)</f>
        <v>0</v>
      </c>
      <c r="T19" s="275">
        <f>SUMIFS(Assumptions!$E21:$KZ21,Assumptions!$E$12:$KZ$12,$B$2,Assumptions!$E$13:$KZ$13,T$11)</f>
        <v>0</v>
      </c>
      <c r="U19" s="275">
        <f>SUMIFS(Assumptions!$E21:$KZ21,Assumptions!$E$12:$KZ$12,$B$2,Assumptions!$E$13:$KZ$13,U$11)</f>
        <v>0</v>
      </c>
      <c r="V19" s="275">
        <f>SUMIFS(Assumptions!$E21:$KZ21,Assumptions!$E$12:$KZ$12,$B$2,Assumptions!$E$13:$KZ$13,V$11)</f>
        <v>0</v>
      </c>
      <c r="W19" s="275">
        <f>SUMIFS(Assumptions!$E21:$KZ21,Assumptions!$E$12:$KZ$12,$B$2,Assumptions!$E$13:$KZ$13,W$11)</f>
        <v>0</v>
      </c>
      <c r="X19" s="275">
        <f>SUMIFS(Assumptions!$E21:$KZ21,Assumptions!$E$12:$KZ$12,$B$2,Assumptions!$E$13:$KZ$13,X$11)</f>
        <v>0</v>
      </c>
      <c r="Y19" s="275">
        <f>SUMIFS(Assumptions!$E21:$KZ21,Assumptions!$E$12:$KZ$12,$B$2,Assumptions!$E$13:$KZ$13,Y$11)</f>
        <v>0</v>
      </c>
      <c r="Z19" s="275">
        <f>SUMIFS(Assumptions!$E21:$KZ21,Assumptions!$E$12:$KZ$12,$B$2,Assumptions!$E$13:$KZ$13,Z$11)</f>
        <v>0</v>
      </c>
      <c r="AA19" s="282"/>
      <c r="AB19" s="282"/>
      <c r="AC19" s="282"/>
    </row>
    <row r="20" spans="2:29" ht="15" customHeight="1">
      <c r="B20" s="345" t="s">
        <v>79</v>
      </c>
      <c r="C20" s="17" t="s">
        <v>80</v>
      </c>
      <c r="D20" t="s">
        <v>81</v>
      </c>
      <c r="E20" s="263">
        <f>SUMIFS(Assumptions!$E22:$KZ22,Assumptions!$E$12:$KZ$12,$B$2,Assumptions!$E$13:$KZ$13,E$11)</f>
        <v>24</v>
      </c>
      <c r="F20" s="263">
        <f>SUMIFS(Assumptions!$E22:$KZ22,Assumptions!$E$12:$KZ$12,$B$2,Assumptions!$E$13:$KZ$13,F$11)</f>
        <v>24</v>
      </c>
      <c r="G20" s="263">
        <f>SUMIFS(Assumptions!$E22:$KZ22,Assumptions!$E$12:$KZ$12,$B$2,Assumptions!$E$13:$KZ$13,G$11)</f>
        <v>61</v>
      </c>
      <c r="H20" s="263">
        <f>SUMIFS(Assumptions!$E22:$KZ22,Assumptions!$E$12:$KZ$12,$B$2,Assumptions!$E$13:$KZ$13,H$11)</f>
        <v>61</v>
      </c>
      <c r="I20" s="263">
        <f>SUMIFS(Assumptions!$E22:$KZ22,Assumptions!$E$12:$KZ$12,$B$2,Assumptions!$E$13:$KZ$13,I$11)</f>
        <v>28</v>
      </c>
      <c r="J20" s="263">
        <f>SUMIFS(Assumptions!$E22:$KZ22,Assumptions!$E$12:$KZ$12,$B$2,Assumptions!$E$13:$KZ$13,J$11)</f>
        <v>28</v>
      </c>
      <c r="K20" s="263">
        <f>SUMIFS(Assumptions!$E22:$KZ22,Assumptions!$E$12:$KZ$12,$B$2,Assumptions!$E$13:$KZ$13,K$11)</f>
        <v>25</v>
      </c>
      <c r="L20" s="263">
        <f>SUMIFS(Assumptions!$E22:$KZ22,Assumptions!$E$12:$KZ$12,$B$2,Assumptions!$E$13:$KZ$13,L$11)</f>
        <v>25</v>
      </c>
      <c r="M20" s="263">
        <f>SUMIFS(Assumptions!$E22:$KZ22,Assumptions!$E$12:$KZ$12,$B$2,Assumptions!$E$13:$KZ$13,M$11)</f>
        <v>58</v>
      </c>
      <c r="N20" s="263">
        <f>SUMIFS(Assumptions!$E22:$KZ22,Assumptions!$E$12:$KZ$12,$B$2,Assumptions!$E$13:$KZ$13,N$11)</f>
        <v>25</v>
      </c>
      <c r="O20" s="263">
        <f>SUMIFS(Assumptions!$E22:$KZ22,Assumptions!$E$12:$KZ$12,$B$2,Assumptions!$E$13:$KZ$13,O$11)</f>
        <v>27</v>
      </c>
      <c r="P20" s="263">
        <f>SUMIFS(Assumptions!$E22:$KZ22,Assumptions!$E$12:$KZ$12,$B$2,Assumptions!$E$13:$KZ$13,P$11)</f>
        <v>4.0999999999999996</v>
      </c>
      <c r="Q20" s="263">
        <f>SUMIFS(Assumptions!$E22:$KZ22,Assumptions!$E$12:$KZ$12,$B$2,Assumptions!$E$13:$KZ$13,Q$11)</f>
        <v>4</v>
      </c>
      <c r="R20" s="263">
        <f>SUMIFS(Assumptions!$E22:$KZ22,Assumptions!$E$12:$KZ$12,$B$2,Assumptions!$E$13:$KZ$13,R$11)</f>
        <v>4</v>
      </c>
      <c r="S20" s="263">
        <f>SUMIFS(Assumptions!$E22:$KZ22,Assumptions!$E$12:$KZ$12,$B$2,Assumptions!$E$13:$KZ$13,S$11)</f>
        <v>0</v>
      </c>
      <c r="T20" s="263">
        <f>SUMIFS(Assumptions!$E22:$KZ22,Assumptions!$E$12:$KZ$12,$B$2,Assumptions!$E$13:$KZ$13,T$11)</f>
        <v>0</v>
      </c>
      <c r="U20" s="263">
        <f>SUMIFS(Assumptions!$E22:$KZ22,Assumptions!$E$12:$KZ$12,$B$2,Assumptions!$E$13:$KZ$13,U$11)</f>
        <v>0</v>
      </c>
      <c r="V20" s="263">
        <f>SUMIFS(Assumptions!$E22:$KZ22,Assumptions!$E$12:$KZ$12,$B$2,Assumptions!$E$13:$KZ$13,V$11)</f>
        <v>0</v>
      </c>
      <c r="W20" s="263">
        <f>SUMIFS(Assumptions!$E22:$KZ22,Assumptions!$E$12:$KZ$12,$B$2,Assumptions!$E$13:$KZ$13,W$11)</f>
        <v>0</v>
      </c>
      <c r="X20" s="263">
        <f>SUMIFS(Assumptions!$E22:$KZ22,Assumptions!$E$12:$KZ$12,$B$2,Assumptions!$E$13:$KZ$13,X$11)</f>
        <v>0</v>
      </c>
      <c r="Y20" s="263">
        <f>SUMIFS(Assumptions!$E22:$KZ22,Assumptions!$E$12:$KZ$12,$B$2,Assumptions!$E$13:$KZ$13,Y$11)</f>
        <v>0</v>
      </c>
      <c r="Z20" s="263">
        <f>SUMIFS(Assumptions!$E22:$KZ22,Assumptions!$E$12:$KZ$12,$B$2,Assumptions!$E$13:$KZ$13,Z$11)</f>
        <v>0</v>
      </c>
      <c r="AA20" s="283"/>
      <c r="AB20" s="284"/>
      <c r="AC20" s="284"/>
    </row>
    <row r="21" spans="2:29">
      <c r="B21" s="345"/>
      <c r="C21" s="17" t="s">
        <v>82</v>
      </c>
      <c r="D21" t="s">
        <v>81</v>
      </c>
      <c r="E21" s="319">
        <f>SUMIFS(Assumptions!$E23:$KZ23,Assumptions!$E$12:$KZ$12,$B$2,Assumptions!$E$13:$KZ$13,E$11)</f>
        <v>2.7</v>
      </c>
      <c r="F21" s="319">
        <f>SUMIFS(Assumptions!$E23:$KZ23,Assumptions!$E$12:$KZ$12,$B$2,Assumptions!$E$13:$KZ$13,F$11)</f>
        <v>2.7</v>
      </c>
      <c r="G21" s="319">
        <f>SUMIFS(Assumptions!$E23:$KZ23,Assumptions!$E$12:$KZ$12,$B$2,Assumptions!$E$13:$KZ$13,G$11)</f>
        <v>3.4</v>
      </c>
      <c r="H21" s="319">
        <f>SUMIFS(Assumptions!$E23:$KZ23,Assumptions!$E$12:$KZ$12,$B$2,Assumptions!$E$13:$KZ$13,H$11)</f>
        <v>3.4</v>
      </c>
      <c r="I21" s="319">
        <f>SUMIFS(Assumptions!$E23:$KZ23,Assumptions!$E$12:$KZ$12,$B$2,Assumptions!$E$13:$KZ$13,I$11)</f>
        <v>2</v>
      </c>
      <c r="J21" s="319">
        <f>SUMIFS(Assumptions!$E23:$KZ23,Assumptions!$E$12:$KZ$12,$B$2,Assumptions!$E$13:$KZ$13,J$11)</f>
        <v>2</v>
      </c>
      <c r="K21" s="319">
        <f>SUMIFS(Assumptions!$E23:$KZ23,Assumptions!$E$12:$KZ$12,$B$2,Assumptions!$E$13:$KZ$13,K$11)</f>
        <v>1.2</v>
      </c>
      <c r="L21" s="319">
        <f>SUMIFS(Assumptions!$E23:$KZ23,Assumptions!$E$12:$KZ$12,$B$2,Assumptions!$E$13:$KZ$13,L$11)</f>
        <v>1.2</v>
      </c>
      <c r="M21" s="319">
        <f>SUMIFS(Assumptions!$E23:$KZ23,Assumptions!$E$12:$KZ$12,$B$2,Assumptions!$E$13:$KZ$13,M$11)</f>
        <v>2.4</v>
      </c>
      <c r="N21" s="319">
        <f>SUMIFS(Assumptions!$E23:$KZ23,Assumptions!$E$12:$KZ$12,$B$2,Assumptions!$E$13:$KZ$13,N$11)</f>
        <v>0.5</v>
      </c>
      <c r="O21" s="319">
        <f>SUMIFS(Assumptions!$E23:$KZ23,Assumptions!$E$12:$KZ$12,$B$2,Assumptions!$E$13:$KZ$13,O$11)</f>
        <v>0.5</v>
      </c>
      <c r="P21" s="319">
        <f>SUMIFS(Assumptions!$E23:$KZ23,Assumptions!$E$12:$KZ$12,$B$2,Assumptions!$E$13:$KZ$13,P$11)</f>
        <v>0.1</v>
      </c>
      <c r="Q21" s="319">
        <f>SUMIFS(Assumptions!$E23:$KZ23,Assumptions!$E$12:$KZ$12,$B$2,Assumptions!$E$13:$KZ$13,Q$11)</f>
        <v>0.1</v>
      </c>
      <c r="R21" s="319">
        <f>SUMIFS(Assumptions!$E23:$KZ23,Assumptions!$E$12:$KZ$12,$B$2,Assumptions!$E$13:$KZ$13,R$11)</f>
        <v>0.1</v>
      </c>
      <c r="S21" s="319">
        <f>SUMIFS(Assumptions!$E23:$KZ23,Assumptions!$E$12:$KZ$12,$B$2,Assumptions!$E$13:$KZ$13,S$11)</f>
        <v>0</v>
      </c>
      <c r="T21" s="319">
        <f>SUMIFS(Assumptions!$E23:$KZ23,Assumptions!$E$12:$KZ$12,$B$2,Assumptions!$E$13:$KZ$13,T$11)</f>
        <v>0</v>
      </c>
      <c r="U21" s="319">
        <f>SUMIFS(Assumptions!$E23:$KZ23,Assumptions!$E$12:$KZ$12,$B$2,Assumptions!$E$13:$KZ$13,U$11)</f>
        <v>0</v>
      </c>
      <c r="V21" s="319">
        <f>SUMIFS(Assumptions!$E23:$KZ23,Assumptions!$E$12:$KZ$12,$B$2,Assumptions!$E$13:$KZ$13,V$11)</f>
        <v>0</v>
      </c>
      <c r="W21" s="319">
        <f>SUMIFS(Assumptions!$E23:$KZ23,Assumptions!$E$12:$KZ$12,$B$2,Assumptions!$E$13:$KZ$13,W$11)</f>
        <v>0</v>
      </c>
      <c r="X21" s="319">
        <f>SUMIFS(Assumptions!$E23:$KZ23,Assumptions!$E$12:$KZ$12,$B$2,Assumptions!$E$13:$KZ$13,X$11)</f>
        <v>0</v>
      </c>
      <c r="Y21" s="319">
        <f>SUMIFS(Assumptions!$E23:$KZ23,Assumptions!$E$12:$KZ$12,$B$2,Assumptions!$E$13:$KZ$13,Y$11)</f>
        <v>0</v>
      </c>
      <c r="Z21" s="319">
        <f>SUMIFS(Assumptions!$E23:$KZ23,Assumptions!$E$12:$KZ$12,$B$2,Assumptions!$E$13:$KZ$13,Z$11)</f>
        <v>0</v>
      </c>
      <c r="AA21" s="320"/>
      <c r="AB21" s="321"/>
      <c r="AC21" s="321"/>
    </row>
    <row r="22" spans="2:29" s="23" customFormat="1">
      <c r="B22" s="345"/>
      <c r="C22" s="139" t="s">
        <v>83</v>
      </c>
      <c r="D22" s="23" t="s">
        <v>84</v>
      </c>
      <c r="E22" s="263">
        <f>SUMIFS(Assumptions!$E24:$KZ24,Assumptions!$E$12:$KZ$12,$B$2,Assumptions!$E$13:$KZ$13,E$11)</f>
        <v>3</v>
      </c>
      <c r="F22" s="263">
        <f>SUMIFS(Assumptions!$E24:$KZ24,Assumptions!$E$12:$KZ$12,$B$2,Assumptions!$E$13:$KZ$13,F$11)</f>
        <v>5</v>
      </c>
      <c r="G22" s="263">
        <f>SUMIFS(Assumptions!$E24:$KZ24,Assumptions!$E$12:$KZ$12,$B$2,Assumptions!$E$13:$KZ$13,G$11)</f>
        <v>2</v>
      </c>
      <c r="H22" s="263">
        <f>SUMIFS(Assumptions!$E24:$KZ24,Assumptions!$E$12:$KZ$12,$B$2,Assumptions!$E$13:$KZ$13,H$11)</f>
        <v>4</v>
      </c>
      <c r="I22" s="263">
        <f>SUMIFS(Assumptions!$E24:$KZ24,Assumptions!$E$12:$KZ$12,$B$2,Assumptions!$E$13:$KZ$13,I$11)</f>
        <v>2</v>
      </c>
      <c r="J22" s="263">
        <f>SUMIFS(Assumptions!$E24:$KZ24,Assumptions!$E$12:$KZ$12,$B$2,Assumptions!$E$13:$KZ$13,J$11)</f>
        <v>4</v>
      </c>
      <c r="K22" s="263">
        <f>SUMIFS(Assumptions!$E24:$KZ24,Assumptions!$E$12:$KZ$12,$B$2,Assumptions!$E$13:$KZ$13,K$11)</f>
        <v>3</v>
      </c>
      <c r="L22" s="263">
        <f>SUMIFS(Assumptions!$E24:$KZ24,Assumptions!$E$12:$KZ$12,$B$2,Assumptions!$E$13:$KZ$13,L$11)</f>
        <v>5</v>
      </c>
      <c r="M22" s="263">
        <f>SUMIFS(Assumptions!$E24:$KZ24,Assumptions!$E$12:$KZ$12,$B$2,Assumptions!$E$13:$KZ$13,M$11)</f>
        <v>2</v>
      </c>
      <c r="N22" s="263">
        <f>SUMIFS(Assumptions!$E24:$KZ24,Assumptions!$E$12:$KZ$12,$B$2,Assumptions!$E$13:$KZ$13,N$11)</f>
        <v>7</v>
      </c>
      <c r="O22" s="263">
        <f>SUMIFS(Assumptions!$E24:$KZ24,Assumptions!$E$12:$KZ$12,$B$2,Assumptions!$E$13:$KZ$13,O$11)</f>
        <v>8</v>
      </c>
      <c r="P22" s="263">
        <f>SUMIFS(Assumptions!$E24:$KZ24,Assumptions!$E$12:$KZ$12,$B$2,Assumptions!$E$13:$KZ$13,P$11)</f>
        <v>8</v>
      </c>
      <c r="Q22" s="263">
        <f>SUMIFS(Assumptions!$E24:$KZ24,Assumptions!$E$12:$KZ$12,$B$2,Assumptions!$E$13:$KZ$13,Q$11)</f>
        <v>9</v>
      </c>
      <c r="R22" s="263">
        <f>SUMIFS(Assumptions!$E24:$KZ24,Assumptions!$E$12:$KZ$12,$B$2,Assumptions!$E$13:$KZ$13,R$11)</f>
        <v>10</v>
      </c>
      <c r="S22" s="263">
        <f>SUMIFS(Assumptions!$E24:$KZ24,Assumptions!$E$12:$KZ$12,$B$2,Assumptions!$E$13:$KZ$13,S$11)</f>
        <v>8</v>
      </c>
      <c r="T22" s="263">
        <f>SUMIFS(Assumptions!$E24:$KZ24,Assumptions!$E$12:$KZ$12,$B$2,Assumptions!$E$13:$KZ$13,T$11)</f>
        <v>10</v>
      </c>
      <c r="U22" s="263">
        <f>SUMIFS(Assumptions!$E24:$KZ24,Assumptions!$E$12:$KZ$12,$B$2,Assumptions!$E$13:$KZ$13,U$11)</f>
        <v>4</v>
      </c>
      <c r="V22" s="263">
        <f>SUMIFS(Assumptions!$E24:$KZ24,Assumptions!$E$12:$KZ$12,$B$2,Assumptions!$E$13:$KZ$13,V$11)</f>
        <v>4</v>
      </c>
      <c r="W22" s="263">
        <f>SUMIFS(Assumptions!$E24:$KZ24,Assumptions!$E$12:$KZ$12,$B$2,Assumptions!$E$13:$KZ$13,W$11)</f>
        <v>6</v>
      </c>
      <c r="X22" s="263">
        <f>SUMIFS(Assumptions!$E24:$KZ24,Assumptions!$E$12:$KZ$12,$B$2,Assumptions!$E$13:$KZ$13,X$11)</f>
        <v>0</v>
      </c>
      <c r="Y22" s="263">
        <f>SUMIFS(Assumptions!$E24:$KZ24,Assumptions!$E$12:$KZ$12,$B$2,Assumptions!$E$13:$KZ$13,Y$11)</f>
        <v>0</v>
      </c>
      <c r="Z22" s="263">
        <f>SUMIFS(Assumptions!$E24:$KZ24,Assumptions!$E$12:$KZ$12,$B$2,Assumptions!$E$13:$KZ$13,Z$11)</f>
        <v>8</v>
      </c>
      <c r="AA22" s="283"/>
      <c r="AB22" s="283"/>
      <c r="AC22" s="283"/>
    </row>
    <row r="23" spans="2:29">
      <c r="B23" s="345"/>
      <c r="C23" s="17" t="s">
        <v>85</v>
      </c>
      <c r="D23" t="s">
        <v>84</v>
      </c>
      <c r="E23" s="263">
        <f>SUMIFS(Assumptions!$E25:$KZ25,Assumptions!$E$12:$KZ$12,$B$2,Assumptions!$E$13:$KZ$13,E$11)</f>
        <v>2</v>
      </c>
      <c r="F23" s="263">
        <f>SUMIFS(Assumptions!$E25:$KZ25,Assumptions!$E$12:$KZ$12,$B$2,Assumptions!$E$13:$KZ$13,F$11)</f>
        <v>4</v>
      </c>
      <c r="G23" s="263">
        <f>SUMIFS(Assumptions!$E25:$KZ25,Assumptions!$E$12:$KZ$12,$B$2,Assumptions!$E$13:$KZ$13,G$11)</f>
        <v>2</v>
      </c>
      <c r="H23" s="263">
        <f>SUMIFS(Assumptions!$E25:$KZ25,Assumptions!$E$12:$KZ$12,$B$2,Assumptions!$E$13:$KZ$13,H$11)</f>
        <v>2</v>
      </c>
      <c r="I23" s="263">
        <f>SUMIFS(Assumptions!$E25:$KZ25,Assumptions!$E$12:$KZ$12,$B$2,Assumptions!$E$13:$KZ$13,I$11)</f>
        <v>2</v>
      </c>
      <c r="J23" s="263">
        <f>SUMIFS(Assumptions!$E25:$KZ25,Assumptions!$E$12:$KZ$12,$B$2,Assumptions!$E$13:$KZ$13,J$11)</f>
        <v>2</v>
      </c>
      <c r="K23" s="263">
        <f>SUMIFS(Assumptions!$E25:$KZ25,Assumptions!$E$12:$KZ$12,$B$2,Assumptions!$E$13:$KZ$13,K$11)</f>
        <v>4</v>
      </c>
      <c r="L23" s="263">
        <f>SUMIFS(Assumptions!$E25:$KZ25,Assumptions!$E$12:$KZ$12,$B$2,Assumptions!$E$13:$KZ$13,L$11)</f>
        <v>4</v>
      </c>
      <c r="M23" s="263">
        <f>SUMIFS(Assumptions!$E25:$KZ25,Assumptions!$E$12:$KZ$12,$B$2,Assumptions!$E$13:$KZ$13,M$11)</f>
        <v>6</v>
      </c>
      <c r="N23" s="263">
        <f>SUMIFS(Assumptions!$E25:$KZ25,Assumptions!$E$12:$KZ$12,$B$2,Assumptions!$E$13:$KZ$13,N$11)</f>
        <v>6</v>
      </c>
      <c r="O23" s="263">
        <f>SUMIFS(Assumptions!$E25:$KZ25,Assumptions!$E$12:$KZ$12,$B$2,Assumptions!$E$13:$KZ$13,O$11)</f>
        <v>6</v>
      </c>
      <c r="P23" s="263">
        <f>SUMIFS(Assumptions!$E25:$KZ25,Assumptions!$E$12:$KZ$12,$B$2,Assumptions!$E$13:$KZ$13,P$11)</f>
        <v>4</v>
      </c>
      <c r="Q23" s="263">
        <f>SUMIFS(Assumptions!$E25:$KZ25,Assumptions!$E$12:$KZ$12,$B$2,Assumptions!$E$13:$KZ$13,Q$11)</f>
        <v>8</v>
      </c>
      <c r="R23" s="263">
        <f>SUMIFS(Assumptions!$E25:$KZ25,Assumptions!$E$12:$KZ$12,$B$2,Assumptions!$E$13:$KZ$13,R$11)</f>
        <v>8</v>
      </c>
      <c r="S23" s="263">
        <f>SUMIFS(Assumptions!$E25:$KZ25,Assumptions!$E$12:$KZ$12,$B$2,Assumptions!$E$13:$KZ$13,S$11)</f>
        <v>6</v>
      </c>
      <c r="T23" s="263">
        <f>SUMIFS(Assumptions!$E25:$KZ25,Assumptions!$E$12:$KZ$12,$B$2,Assumptions!$E$13:$KZ$13,T$11)</f>
        <v>6</v>
      </c>
      <c r="U23" s="263">
        <f>SUMIFS(Assumptions!$E25:$KZ25,Assumptions!$E$12:$KZ$12,$B$2,Assumptions!$E$13:$KZ$13,U$11)</f>
        <v>4</v>
      </c>
      <c r="V23" s="263">
        <f>SUMIFS(Assumptions!$E25:$KZ25,Assumptions!$E$12:$KZ$12,$B$2,Assumptions!$E$13:$KZ$13,V$11)</f>
        <v>4</v>
      </c>
      <c r="W23" s="263">
        <f>SUMIFS(Assumptions!$E25:$KZ25,Assumptions!$E$12:$KZ$12,$B$2,Assumptions!$E$13:$KZ$13,W$11)</f>
        <v>4</v>
      </c>
      <c r="X23" s="263">
        <f>SUMIFS(Assumptions!$E25:$KZ25,Assumptions!$E$12:$KZ$12,$B$2,Assumptions!$E$13:$KZ$13,X$11)</f>
        <v>0</v>
      </c>
      <c r="Y23" s="263">
        <f>SUMIFS(Assumptions!$E25:$KZ25,Assumptions!$E$12:$KZ$12,$B$2,Assumptions!$E$13:$KZ$13,Y$11)</f>
        <v>0</v>
      </c>
      <c r="Z23" s="263">
        <f>SUMIFS(Assumptions!$E25:$KZ25,Assumptions!$E$12:$KZ$12,$B$2,Assumptions!$E$13:$KZ$13,Z$11)</f>
        <v>8</v>
      </c>
      <c r="AA23" s="283"/>
      <c r="AB23" s="284"/>
      <c r="AC23" s="284"/>
    </row>
    <row r="24" spans="2:29">
      <c r="B24" s="345"/>
      <c r="C24" s="17" t="s">
        <v>86</v>
      </c>
      <c r="D24" t="s">
        <v>84</v>
      </c>
      <c r="E24" s="263">
        <f>SUMIFS(Assumptions!$E26:$KZ26,Assumptions!$E$12:$KZ$12,$B$2,Assumptions!$E$13:$KZ$13,E$11)</f>
        <v>4</v>
      </c>
      <c r="F24" s="263">
        <f>SUMIFS(Assumptions!$E26:$KZ26,Assumptions!$E$12:$KZ$12,$B$2,Assumptions!$E$13:$KZ$13,F$11)</f>
        <v>4</v>
      </c>
      <c r="G24" s="263">
        <f>SUMIFS(Assumptions!$E26:$KZ26,Assumptions!$E$12:$KZ$12,$B$2,Assumptions!$E$13:$KZ$13,G$11)</f>
        <v>2</v>
      </c>
      <c r="H24" s="263">
        <f>SUMIFS(Assumptions!$E26:$KZ26,Assumptions!$E$12:$KZ$12,$B$2,Assumptions!$E$13:$KZ$13,H$11)</f>
        <v>4</v>
      </c>
      <c r="I24" s="263">
        <f>SUMIFS(Assumptions!$E26:$KZ26,Assumptions!$E$12:$KZ$12,$B$2,Assumptions!$E$13:$KZ$13,I$11)</f>
        <v>2</v>
      </c>
      <c r="J24" s="263">
        <f>SUMIFS(Assumptions!$E26:$KZ26,Assumptions!$E$12:$KZ$12,$B$2,Assumptions!$E$13:$KZ$13,J$11)</f>
        <v>4</v>
      </c>
      <c r="K24" s="263">
        <f>SUMIFS(Assumptions!$E26:$KZ26,Assumptions!$E$12:$KZ$12,$B$2,Assumptions!$E$13:$KZ$13,K$11)</f>
        <v>2</v>
      </c>
      <c r="L24" s="263">
        <f>SUMIFS(Assumptions!$E26:$KZ26,Assumptions!$E$12:$KZ$12,$B$2,Assumptions!$E$13:$KZ$13,L$11)</f>
        <v>4</v>
      </c>
      <c r="M24" s="263">
        <f>SUMIFS(Assumptions!$E26:$KZ26,Assumptions!$E$12:$KZ$12,$B$2,Assumptions!$E$13:$KZ$13,M$11)</f>
        <v>4</v>
      </c>
      <c r="N24" s="263">
        <f>SUMIFS(Assumptions!$E26:$KZ26,Assumptions!$E$12:$KZ$12,$B$2,Assumptions!$E$13:$KZ$13,N$11)</f>
        <v>4</v>
      </c>
      <c r="O24" s="263">
        <f>SUMIFS(Assumptions!$E26:$KZ26,Assumptions!$E$12:$KZ$12,$B$2,Assumptions!$E$13:$KZ$13,O$11)</f>
        <v>4</v>
      </c>
      <c r="P24" s="263">
        <f>SUMIFS(Assumptions!$E26:$KZ26,Assumptions!$E$12:$KZ$12,$B$2,Assumptions!$E$13:$KZ$13,P$11)</f>
        <v>8</v>
      </c>
      <c r="Q24" s="263">
        <f>SUMIFS(Assumptions!$E26:$KZ26,Assumptions!$E$12:$KZ$12,$B$2,Assumptions!$E$13:$KZ$13,Q$11)</f>
        <v>10</v>
      </c>
      <c r="R24" s="263">
        <f>SUMIFS(Assumptions!$E26:$KZ26,Assumptions!$E$12:$KZ$12,$B$2,Assumptions!$E$13:$KZ$13,R$11)</f>
        <v>10</v>
      </c>
      <c r="S24" s="263">
        <f>SUMIFS(Assumptions!$E26:$KZ26,Assumptions!$E$12:$KZ$12,$B$2,Assumptions!$E$13:$KZ$13,S$11)</f>
        <v>10</v>
      </c>
      <c r="T24" s="263">
        <f>SUMIFS(Assumptions!$E26:$KZ26,Assumptions!$E$12:$KZ$12,$B$2,Assumptions!$E$13:$KZ$13,T$11)</f>
        <v>8</v>
      </c>
      <c r="U24" s="263">
        <f>SUMIFS(Assumptions!$E26:$KZ26,Assumptions!$E$12:$KZ$12,$B$2,Assumptions!$E$13:$KZ$13,U$11)</f>
        <v>4</v>
      </c>
      <c r="V24" s="263">
        <f>SUMIFS(Assumptions!$E26:$KZ26,Assumptions!$E$12:$KZ$12,$B$2,Assumptions!$E$13:$KZ$13,V$11)</f>
        <v>2</v>
      </c>
      <c r="W24" s="263">
        <f>SUMIFS(Assumptions!$E26:$KZ26,Assumptions!$E$12:$KZ$12,$B$2,Assumptions!$E$13:$KZ$13,W$11)</f>
        <v>4</v>
      </c>
      <c r="X24" s="263">
        <f>SUMIFS(Assumptions!$E26:$KZ26,Assumptions!$E$12:$KZ$12,$B$2,Assumptions!$E$13:$KZ$13,X$11)</f>
        <v>0</v>
      </c>
      <c r="Y24" s="263">
        <f>SUMIFS(Assumptions!$E26:$KZ26,Assumptions!$E$12:$KZ$12,$B$2,Assumptions!$E$13:$KZ$13,Y$11)</f>
        <v>0</v>
      </c>
      <c r="Z24" s="263">
        <f>SUMIFS(Assumptions!$E26:$KZ26,Assumptions!$E$12:$KZ$12,$B$2,Assumptions!$E$13:$KZ$13,Z$11)</f>
        <v>10</v>
      </c>
      <c r="AA24" s="283"/>
      <c r="AB24" s="284"/>
      <c r="AC24" s="284"/>
    </row>
    <row r="25" spans="2:29">
      <c r="B25" s="345"/>
      <c r="C25" s="17" t="s">
        <v>87</v>
      </c>
      <c r="D25" t="s">
        <v>84</v>
      </c>
      <c r="E25" s="263">
        <f>SUMIFS(Assumptions!$E27:$KZ27,Assumptions!$E$12:$KZ$12,$B$2,Assumptions!$E$13:$KZ$13,E$11)</f>
        <v>4</v>
      </c>
      <c r="F25" s="263">
        <f>SUMIFS(Assumptions!$E27:$KZ27,Assumptions!$E$12:$KZ$12,$B$2,Assumptions!$E$13:$KZ$13,F$11)</f>
        <v>6</v>
      </c>
      <c r="G25" s="263">
        <f>SUMIFS(Assumptions!$E27:$KZ27,Assumptions!$E$12:$KZ$12,$B$2,Assumptions!$E$13:$KZ$13,G$11)</f>
        <v>4</v>
      </c>
      <c r="H25" s="263">
        <f>SUMIFS(Assumptions!$E27:$KZ27,Assumptions!$E$12:$KZ$12,$B$2,Assumptions!$E$13:$KZ$13,H$11)</f>
        <v>4</v>
      </c>
      <c r="I25" s="263">
        <f>SUMIFS(Assumptions!$E27:$KZ27,Assumptions!$E$12:$KZ$12,$B$2,Assumptions!$E$13:$KZ$13,I$11)</f>
        <v>4</v>
      </c>
      <c r="J25" s="263">
        <f>SUMIFS(Assumptions!$E27:$KZ27,Assumptions!$E$12:$KZ$12,$B$2,Assumptions!$E$13:$KZ$13,J$11)</f>
        <v>4</v>
      </c>
      <c r="K25" s="263">
        <f>SUMIFS(Assumptions!$E27:$KZ27,Assumptions!$E$12:$KZ$12,$B$2,Assumptions!$E$13:$KZ$13,K$11)</f>
        <v>4</v>
      </c>
      <c r="L25" s="263">
        <f>SUMIFS(Assumptions!$E27:$KZ27,Assumptions!$E$12:$KZ$12,$B$2,Assumptions!$E$13:$KZ$13,L$11)</f>
        <v>4</v>
      </c>
      <c r="M25" s="263">
        <f>SUMIFS(Assumptions!$E27:$KZ27,Assumptions!$E$12:$KZ$12,$B$2,Assumptions!$E$13:$KZ$13,M$11)</f>
        <v>4</v>
      </c>
      <c r="N25" s="263">
        <f>SUMIFS(Assumptions!$E27:$KZ27,Assumptions!$E$12:$KZ$12,$B$2,Assumptions!$E$13:$KZ$13,N$11)</f>
        <v>6</v>
      </c>
      <c r="O25" s="263">
        <f>SUMIFS(Assumptions!$E27:$KZ27,Assumptions!$E$12:$KZ$12,$B$2,Assumptions!$E$13:$KZ$13,O$11)</f>
        <v>6</v>
      </c>
      <c r="P25" s="263">
        <f>SUMIFS(Assumptions!$E27:$KZ27,Assumptions!$E$12:$KZ$12,$B$2,Assumptions!$E$13:$KZ$13,P$11)</f>
        <v>8</v>
      </c>
      <c r="Q25" s="263">
        <f>SUMIFS(Assumptions!$E27:$KZ27,Assumptions!$E$12:$KZ$12,$B$2,Assumptions!$E$13:$KZ$13,Q$11)</f>
        <v>10</v>
      </c>
      <c r="R25" s="263">
        <f>SUMIFS(Assumptions!$E27:$KZ27,Assumptions!$E$12:$KZ$12,$B$2,Assumptions!$E$13:$KZ$13,R$11)</f>
        <v>10</v>
      </c>
      <c r="S25" s="263">
        <f>SUMIFS(Assumptions!$E27:$KZ27,Assumptions!$E$12:$KZ$12,$B$2,Assumptions!$E$13:$KZ$13,S$11)</f>
        <v>6</v>
      </c>
      <c r="T25" s="263">
        <f>SUMIFS(Assumptions!$E27:$KZ27,Assumptions!$E$12:$KZ$12,$B$2,Assumptions!$E$13:$KZ$13,T$11)</f>
        <v>10</v>
      </c>
      <c r="U25" s="263">
        <f>SUMIFS(Assumptions!$E27:$KZ27,Assumptions!$E$12:$KZ$12,$B$2,Assumptions!$E$13:$KZ$13,U$11)</f>
        <v>2</v>
      </c>
      <c r="V25" s="263">
        <f>SUMIFS(Assumptions!$E27:$KZ27,Assumptions!$E$12:$KZ$12,$B$2,Assumptions!$E$13:$KZ$13,V$11)</f>
        <v>6</v>
      </c>
      <c r="W25" s="263">
        <f>SUMIFS(Assumptions!$E27:$KZ27,Assumptions!$E$12:$KZ$12,$B$2,Assumptions!$E$13:$KZ$13,W$11)</f>
        <v>6</v>
      </c>
      <c r="X25" s="263">
        <f>SUMIFS(Assumptions!$E27:$KZ27,Assumptions!$E$12:$KZ$12,$B$2,Assumptions!$E$13:$KZ$13,X$11)</f>
        <v>0</v>
      </c>
      <c r="Y25" s="263">
        <f>SUMIFS(Assumptions!$E27:$KZ27,Assumptions!$E$12:$KZ$12,$B$2,Assumptions!$E$13:$KZ$13,Y$11)</f>
        <v>0</v>
      </c>
      <c r="Z25" s="263">
        <f>SUMIFS(Assumptions!$E27:$KZ27,Assumptions!$E$12:$KZ$12,$B$2,Assumptions!$E$13:$KZ$13,Z$11)</f>
        <v>8</v>
      </c>
      <c r="AA25" s="283"/>
      <c r="AB25" s="284"/>
      <c r="AC25" s="284"/>
    </row>
    <row r="26" spans="2:29">
      <c r="B26" s="345"/>
      <c r="C26" s="17" t="s">
        <v>88</v>
      </c>
      <c r="D26" t="s">
        <v>84</v>
      </c>
      <c r="E26" s="263">
        <f>SUMIFS(Assumptions!$E28:$KZ28,Assumptions!$E$12:$KZ$12,$B$2,Assumptions!$E$13:$KZ$13,E$11)</f>
        <v>4</v>
      </c>
      <c r="F26" s="263">
        <f>SUMIFS(Assumptions!$E28:$KZ28,Assumptions!$E$12:$KZ$12,$B$2,Assumptions!$E$13:$KZ$13,F$11)</f>
        <v>6</v>
      </c>
      <c r="G26" s="263">
        <f>SUMIFS(Assumptions!$E28:$KZ28,Assumptions!$E$12:$KZ$12,$B$2,Assumptions!$E$13:$KZ$13,G$11)</f>
        <v>2</v>
      </c>
      <c r="H26" s="263">
        <f>SUMIFS(Assumptions!$E28:$KZ28,Assumptions!$E$12:$KZ$12,$B$2,Assumptions!$E$13:$KZ$13,H$11)</f>
        <v>4</v>
      </c>
      <c r="I26" s="263">
        <f>SUMIFS(Assumptions!$E28:$KZ28,Assumptions!$E$12:$KZ$12,$B$2,Assumptions!$E$13:$KZ$13,I$11)</f>
        <v>2</v>
      </c>
      <c r="J26" s="263">
        <f>SUMIFS(Assumptions!$E28:$KZ28,Assumptions!$E$12:$KZ$12,$B$2,Assumptions!$E$13:$KZ$13,J$11)</f>
        <v>4</v>
      </c>
      <c r="K26" s="263">
        <f>SUMIFS(Assumptions!$E28:$KZ28,Assumptions!$E$12:$KZ$12,$B$2,Assumptions!$E$13:$KZ$13,K$11)</f>
        <v>4</v>
      </c>
      <c r="L26" s="263">
        <f>SUMIFS(Assumptions!$E28:$KZ28,Assumptions!$E$12:$KZ$12,$B$2,Assumptions!$E$13:$KZ$13,L$11)</f>
        <v>6</v>
      </c>
      <c r="M26" s="263">
        <f>SUMIFS(Assumptions!$E28:$KZ28,Assumptions!$E$12:$KZ$12,$B$2,Assumptions!$E$13:$KZ$13,M$11)</f>
        <v>2</v>
      </c>
      <c r="N26" s="263">
        <f>SUMIFS(Assumptions!$E28:$KZ28,Assumptions!$E$12:$KZ$12,$B$2,Assumptions!$E$13:$KZ$13,N$11)</f>
        <v>6</v>
      </c>
      <c r="O26" s="263">
        <f>SUMIFS(Assumptions!$E28:$KZ28,Assumptions!$E$12:$KZ$12,$B$2,Assumptions!$E$13:$KZ$13,O$11)</f>
        <v>8</v>
      </c>
      <c r="P26" s="263">
        <f>SUMIFS(Assumptions!$E28:$KZ28,Assumptions!$E$12:$KZ$12,$B$2,Assumptions!$E$13:$KZ$13,P$11)</f>
        <v>8</v>
      </c>
      <c r="Q26" s="263">
        <f>SUMIFS(Assumptions!$E28:$KZ28,Assumptions!$E$12:$KZ$12,$B$2,Assumptions!$E$13:$KZ$13,Q$11)</f>
        <v>10</v>
      </c>
      <c r="R26" s="263">
        <f>SUMIFS(Assumptions!$E28:$KZ28,Assumptions!$E$12:$KZ$12,$B$2,Assumptions!$E$13:$KZ$13,R$11)</f>
        <v>10</v>
      </c>
      <c r="S26" s="263">
        <f>SUMIFS(Assumptions!$E28:$KZ28,Assumptions!$E$12:$KZ$12,$B$2,Assumptions!$E$13:$KZ$13,S$11)</f>
        <v>8</v>
      </c>
      <c r="T26" s="263">
        <f>SUMIFS(Assumptions!$E28:$KZ28,Assumptions!$E$12:$KZ$12,$B$2,Assumptions!$E$13:$KZ$13,T$11)</f>
        <v>10</v>
      </c>
      <c r="U26" s="263">
        <f>SUMIFS(Assumptions!$E28:$KZ28,Assumptions!$E$12:$KZ$12,$B$2,Assumptions!$E$13:$KZ$13,U$11)</f>
        <v>4</v>
      </c>
      <c r="V26" s="263">
        <f>SUMIFS(Assumptions!$E28:$KZ28,Assumptions!$E$12:$KZ$12,$B$2,Assumptions!$E$13:$KZ$13,V$11)</f>
        <v>4</v>
      </c>
      <c r="W26" s="263">
        <f>SUMIFS(Assumptions!$E28:$KZ28,Assumptions!$E$12:$KZ$12,$B$2,Assumptions!$E$13:$KZ$13,W$11)</f>
        <v>6</v>
      </c>
      <c r="X26" s="263">
        <f>SUMIFS(Assumptions!$E28:$KZ28,Assumptions!$E$12:$KZ$12,$B$2,Assumptions!$E$13:$KZ$13,X$11)</f>
        <v>0</v>
      </c>
      <c r="Y26" s="263">
        <f>SUMIFS(Assumptions!$E28:$KZ28,Assumptions!$E$12:$KZ$12,$B$2,Assumptions!$E$13:$KZ$13,Y$11)</f>
        <v>0</v>
      </c>
      <c r="Z26" s="263">
        <f>SUMIFS(Assumptions!$E28:$KZ28,Assumptions!$E$12:$KZ$12,$B$2,Assumptions!$E$13:$KZ$13,Z$11)</f>
        <v>8</v>
      </c>
      <c r="AA26" s="283"/>
      <c r="AB26" s="284"/>
      <c r="AC26" s="284"/>
    </row>
    <row r="27" spans="2:29">
      <c r="B27" s="345"/>
      <c r="C27" s="17" t="s">
        <v>89</v>
      </c>
      <c r="D27" t="s">
        <v>84</v>
      </c>
      <c r="E27" s="263">
        <f>SUMIFS(Assumptions!$E29:$KZ29,Assumptions!$E$12:$KZ$12,$B$2,Assumptions!$E$13:$KZ$13,E$11)</f>
        <v>4</v>
      </c>
      <c r="F27" s="263">
        <f>SUMIFS(Assumptions!$E29:$KZ29,Assumptions!$E$12:$KZ$12,$B$2,Assumptions!$E$13:$KZ$13,F$11)</f>
        <v>4</v>
      </c>
      <c r="G27" s="263">
        <f>SUMIFS(Assumptions!$E29:$KZ29,Assumptions!$E$12:$KZ$12,$B$2,Assumptions!$E$13:$KZ$13,G$11)</f>
        <v>4</v>
      </c>
      <c r="H27" s="263">
        <f>SUMIFS(Assumptions!$E29:$KZ29,Assumptions!$E$12:$KZ$12,$B$2,Assumptions!$E$13:$KZ$13,H$11)</f>
        <v>2</v>
      </c>
      <c r="I27" s="263">
        <f>SUMIFS(Assumptions!$E29:$KZ29,Assumptions!$E$12:$KZ$12,$B$2,Assumptions!$E$13:$KZ$13,I$11)</f>
        <v>4</v>
      </c>
      <c r="J27" s="263">
        <f>SUMIFS(Assumptions!$E29:$KZ29,Assumptions!$E$12:$KZ$12,$B$2,Assumptions!$E$13:$KZ$13,J$11)</f>
        <v>2</v>
      </c>
      <c r="K27" s="263">
        <f>SUMIFS(Assumptions!$E29:$KZ29,Assumptions!$E$12:$KZ$12,$B$2,Assumptions!$E$13:$KZ$13,K$11)</f>
        <v>4</v>
      </c>
      <c r="L27" s="263">
        <f>SUMIFS(Assumptions!$E29:$KZ29,Assumptions!$E$12:$KZ$12,$B$2,Assumptions!$E$13:$KZ$13,L$11)</f>
        <v>4</v>
      </c>
      <c r="M27" s="263">
        <f>SUMIFS(Assumptions!$E29:$KZ29,Assumptions!$E$12:$KZ$12,$B$2,Assumptions!$E$13:$KZ$13,M$11)</f>
        <v>2</v>
      </c>
      <c r="N27" s="263">
        <f>SUMIFS(Assumptions!$E29:$KZ29,Assumptions!$E$12:$KZ$12,$B$2,Assumptions!$E$13:$KZ$13,N$11)</f>
        <v>4</v>
      </c>
      <c r="O27" s="263">
        <f>SUMIFS(Assumptions!$E29:$KZ29,Assumptions!$E$12:$KZ$12,$B$2,Assumptions!$E$13:$KZ$13,O$11)</f>
        <v>4</v>
      </c>
      <c r="P27" s="263">
        <f>SUMIFS(Assumptions!$E29:$KZ29,Assumptions!$E$12:$KZ$12,$B$2,Assumptions!$E$13:$KZ$13,P$11)</f>
        <v>8</v>
      </c>
      <c r="Q27" s="263">
        <f>SUMIFS(Assumptions!$E29:$KZ29,Assumptions!$E$12:$KZ$12,$B$2,Assumptions!$E$13:$KZ$13,Q$11)</f>
        <v>10</v>
      </c>
      <c r="R27" s="263">
        <f>SUMIFS(Assumptions!$E29:$KZ29,Assumptions!$E$12:$KZ$12,$B$2,Assumptions!$E$13:$KZ$13,R$11)</f>
        <v>10</v>
      </c>
      <c r="S27" s="263">
        <f>SUMIFS(Assumptions!$E29:$KZ29,Assumptions!$E$12:$KZ$12,$B$2,Assumptions!$E$13:$KZ$13,S$11)</f>
        <v>8</v>
      </c>
      <c r="T27" s="263">
        <f>SUMIFS(Assumptions!$E29:$KZ29,Assumptions!$E$12:$KZ$12,$B$2,Assumptions!$E$13:$KZ$13,T$11)</f>
        <v>10</v>
      </c>
      <c r="U27" s="263">
        <f>SUMIFS(Assumptions!$E29:$KZ29,Assumptions!$E$12:$KZ$12,$B$2,Assumptions!$E$13:$KZ$13,U$11)</f>
        <v>4</v>
      </c>
      <c r="V27" s="263">
        <f>SUMIFS(Assumptions!$E29:$KZ29,Assumptions!$E$12:$KZ$12,$B$2,Assumptions!$E$13:$KZ$13,V$11)</f>
        <v>4</v>
      </c>
      <c r="W27" s="263">
        <f>SUMIFS(Assumptions!$E29:$KZ29,Assumptions!$E$12:$KZ$12,$B$2,Assumptions!$E$13:$KZ$13,W$11)</f>
        <v>4</v>
      </c>
      <c r="X27" s="263">
        <f>SUMIFS(Assumptions!$E29:$KZ29,Assumptions!$E$12:$KZ$12,$B$2,Assumptions!$E$13:$KZ$13,X$11)</f>
        <v>6</v>
      </c>
      <c r="Y27" s="263">
        <f>SUMIFS(Assumptions!$E29:$KZ29,Assumptions!$E$12:$KZ$12,$B$2,Assumptions!$E$13:$KZ$13,Y$11)</f>
        <v>6</v>
      </c>
      <c r="Z27" s="263">
        <f>SUMIFS(Assumptions!$E29:$KZ29,Assumptions!$E$12:$KZ$12,$B$2,Assumptions!$E$13:$KZ$13,Z$11)</f>
        <v>8</v>
      </c>
      <c r="AA27" s="283"/>
      <c r="AB27" s="284"/>
      <c r="AC27" s="284"/>
    </row>
    <row r="28" spans="2:29">
      <c r="B28" s="345"/>
      <c r="C28" s="17" t="s">
        <v>90</v>
      </c>
      <c r="D28" t="s">
        <v>84</v>
      </c>
      <c r="E28" s="263">
        <f>SUMIFS(Assumptions!$E30:$KZ30,Assumptions!$E$12:$KZ$12,$B$2,Assumptions!$E$13:$KZ$13,E$11)</f>
        <v>10</v>
      </c>
      <c r="F28" s="263">
        <f>SUMIFS(Assumptions!$E30:$KZ30,Assumptions!$E$12:$KZ$12,$B$2,Assumptions!$E$13:$KZ$13,F$11)</f>
        <v>10</v>
      </c>
      <c r="G28" s="263">
        <f>SUMIFS(Assumptions!$E30:$KZ30,Assumptions!$E$12:$KZ$12,$B$2,Assumptions!$E$13:$KZ$13,G$11)</f>
        <v>9</v>
      </c>
      <c r="H28" s="263">
        <f>SUMIFS(Assumptions!$E30:$KZ30,Assumptions!$E$12:$KZ$12,$B$2,Assumptions!$E$13:$KZ$13,H$11)</f>
        <v>9</v>
      </c>
      <c r="I28" s="263">
        <f>SUMIFS(Assumptions!$E30:$KZ30,Assumptions!$E$12:$KZ$12,$B$2,Assumptions!$E$13:$KZ$13,I$11)</f>
        <v>10</v>
      </c>
      <c r="J28" s="263">
        <f>SUMIFS(Assumptions!$E30:$KZ30,Assumptions!$E$12:$KZ$12,$B$2,Assumptions!$E$13:$KZ$13,J$11)</f>
        <v>10</v>
      </c>
      <c r="K28" s="263">
        <f>SUMIFS(Assumptions!$E30:$KZ30,Assumptions!$E$12:$KZ$12,$B$2,Assumptions!$E$13:$KZ$13,K$11)</f>
        <v>10</v>
      </c>
      <c r="L28" s="263">
        <f>SUMIFS(Assumptions!$E30:$KZ30,Assumptions!$E$12:$KZ$12,$B$2,Assumptions!$E$13:$KZ$13,L$11)</f>
        <v>10</v>
      </c>
      <c r="M28" s="263">
        <f>SUMIFS(Assumptions!$E30:$KZ30,Assumptions!$E$12:$KZ$12,$B$2,Assumptions!$E$13:$KZ$13,M$11)</f>
        <v>10</v>
      </c>
      <c r="N28" s="263">
        <f>SUMIFS(Assumptions!$E30:$KZ30,Assumptions!$E$12:$KZ$12,$B$2,Assumptions!$E$13:$KZ$13,N$11)</f>
        <v>8</v>
      </c>
      <c r="O28" s="263">
        <f>SUMIFS(Assumptions!$E30:$KZ30,Assumptions!$E$12:$KZ$12,$B$2,Assumptions!$E$13:$KZ$13,O$11)</f>
        <v>8</v>
      </c>
      <c r="P28" s="263">
        <f>SUMIFS(Assumptions!$E30:$KZ30,Assumptions!$E$12:$KZ$12,$B$2,Assumptions!$E$13:$KZ$13,P$11)</f>
        <v>10</v>
      </c>
      <c r="Q28" s="263">
        <f>SUMIFS(Assumptions!$E30:$KZ30,Assumptions!$E$12:$KZ$12,$B$2,Assumptions!$E$13:$KZ$13,Q$11)</f>
        <v>10</v>
      </c>
      <c r="R28" s="263">
        <f>SUMIFS(Assumptions!$E30:$KZ30,Assumptions!$E$12:$KZ$12,$B$2,Assumptions!$E$13:$KZ$13,R$11)</f>
        <v>10</v>
      </c>
      <c r="S28" s="263">
        <f>SUMIFS(Assumptions!$E30:$KZ30,Assumptions!$E$12:$KZ$12,$B$2,Assumptions!$E$13:$KZ$13,S$11)</f>
        <v>10</v>
      </c>
      <c r="T28" s="263">
        <f>SUMIFS(Assumptions!$E30:$KZ30,Assumptions!$E$12:$KZ$12,$B$2,Assumptions!$E$13:$KZ$13,T$11)</f>
        <v>10</v>
      </c>
      <c r="U28" s="263">
        <f>SUMIFS(Assumptions!$E30:$KZ30,Assumptions!$E$12:$KZ$12,$B$2,Assumptions!$E$13:$KZ$13,U$11)</f>
        <v>8</v>
      </c>
      <c r="V28" s="263">
        <f>SUMIFS(Assumptions!$E30:$KZ30,Assumptions!$E$12:$KZ$12,$B$2,Assumptions!$E$13:$KZ$13,V$11)</f>
        <v>10</v>
      </c>
      <c r="W28" s="263">
        <f>SUMIFS(Assumptions!$E30:$KZ30,Assumptions!$E$12:$KZ$12,$B$2,Assumptions!$E$13:$KZ$13,W$11)</f>
        <v>10</v>
      </c>
      <c r="X28" s="263">
        <f>SUMIFS(Assumptions!$E30:$KZ30,Assumptions!$E$12:$KZ$12,$B$2,Assumptions!$E$13:$KZ$13,X$11)</f>
        <v>0</v>
      </c>
      <c r="Y28" s="263">
        <f>SUMIFS(Assumptions!$E30:$KZ30,Assumptions!$E$12:$KZ$12,$B$2,Assumptions!$E$13:$KZ$13,Y$11)</f>
        <v>10</v>
      </c>
      <c r="Z28" s="263">
        <f>SUMIFS(Assumptions!$E30:$KZ30,Assumptions!$E$12:$KZ$12,$B$2,Assumptions!$E$13:$KZ$13,Z$11)</f>
        <v>10</v>
      </c>
      <c r="AA28" s="283"/>
      <c r="AB28" s="284"/>
      <c r="AC28" s="284"/>
    </row>
    <row r="29" spans="2:29">
      <c r="B29" s="345"/>
      <c r="C29" s="17" t="s">
        <v>91</v>
      </c>
      <c r="D29" t="s">
        <v>84</v>
      </c>
      <c r="E29" s="263">
        <f>SUMIFS(Assumptions!$E31:$KZ31,Assumptions!$E$12:$KZ$12,$B$2,Assumptions!$E$13:$KZ$13,E$11)</f>
        <v>8</v>
      </c>
      <c r="F29" s="263">
        <f>SUMIFS(Assumptions!$E31:$KZ31,Assumptions!$E$12:$KZ$12,$B$2,Assumptions!$E$13:$KZ$13,F$11)</f>
        <v>8</v>
      </c>
      <c r="G29" s="263">
        <f>SUMIFS(Assumptions!$E31:$KZ31,Assumptions!$E$12:$KZ$12,$B$2,Assumptions!$E$13:$KZ$13,G$11)</f>
        <v>7</v>
      </c>
      <c r="H29" s="263">
        <f>SUMIFS(Assumptions!$E31:$KZ31,Assumptions!$E$12:$KZ$12,$B$2,Assumptions!$E$13:$KZ$13,H$11)</f>
        <v>7</v>
      </c>
      <c r="I29" s="263">
        <f>SUMIFS(Assumptions!$E31:$KZ31,Assumptions!$E$12:$KZ$12,$B$2,Assumptions!$E$13:$KZ$13,I$11)</f>
        <v>7</v>
      </c>
      <c r="J29" s="263">
        <f>SUMIFS(Assumptions!$E31:$KZ31,Assumptions!$E$12:$KZ$12,$B$2,Assumptions!$E$13:$KZ$13,J$11)</f>
        <v>7</v>
      </c>
      <c r="K29" s="263">
        <f>SUMIFS(Assumptions!$E31:$KZ31,Assumptions!$E$12:$KZ$12,$B$2,Assumptions!$E$13:$KZ$13,K$11)</f>
        <v>8</v>
      </c>
      <c r="L29" s="263">
        <f>SUMIFS(Assumptions!$E31:$KZ31,Assumptions!$E$12:$KZ$12,$B$2,Assumptions!$E$13:$KZ$13,L$11)</f>
        <v>8</v>
      </c>
      <c r="M29" s="263">
        <f>SUMIFS(Assumptions!$E31:$KZ31,Assumptions!$E$12:$KZ$12,$B$2,Assumptions!$E$13:$KZ$13,M$11)</f>
        <v>3</v>
      </c>
      <c r="N29" s="263">
        <f>SUMIFS(Assumptions!$E31:$KZ31,Assumptions!$E$12:$KZ$12,$B$2,Assumptions!$E$13:$KZ$13,N$11)</f>
        <v>6</v>
      </c>
      <c r="O29" s="263">
        <f>SUMIFS(Assumptions!$E31:$KZ31,Assumptions!$E$12:$KZ$12,$B$2,Assumptions!$E$13:$KZ$13,O$11)</f>
        <v>6</v>
      </c>
      <c r="P29" s="263">
        <f>SUMIFS(Assumptions!$E31:$KZ31,Assumptions!$E$12:$KZ$12,$B$2,Assumptions!$E$13:$KZ$13,P$11)</f>
        <v>9</v>
      </c>
      <c r="Q29" s="263">
        <f>SUMIFS(Assumptions!$E31:$KZ31,Assumptions!$E$12:$KZ$12,$B$2,Assumptions!$E$13:$KZ$13,Q$11)</f>
        <v>10</v>
      </c>
      <c r="R29" s="263">
        <f>SUMIFS(Assumptions!$E31:$KZ31,Assumptions!$E$12:$KZ$12,$B$2,Assumptions!$E$13:$KZ$13,R$11)</f>
        <v>10</v>
      </c>
      <c r="S29" s="263">
        <f>SUMIFS(Assumptions!$E31:$KZ31,Assumptions!$E$12:$KZ$12,$B$2,Assumptions!$E$13:$KZ$13,S$11)</f>
        <v>3</v>
      </c>
      <c r="T29" s="263">
        <f>SUMIFS(Assumptions!$E31:$KZ31,Assumptions!$E$12:$KZ$12,$B$2,Assumptions!$E$13:$KZ$13,T$11)</f>
        <v>10</v>
      </c>
      <c r="U29" s="263">
        <f>SUMIFS(Assumptions!$E31:$KZ31,Assumptions!$E$12:$KZ$12,$B$2,Assumptions!$E$13:$KZ$13,U$11)</f>
        <v>1</v>
      </c>
      <c r="V29" s="263">
        <f>SUMIFS(Assumptions!$E31:$KZ31,Assumptions!$E$12:$KZ$12,$B$2,Assumptions!$E$13:$KZ$13,V$11)</f>
        <v>5</v>
      </c>
      <c r="W29" s="263">
        <f>SUMIFS(Assumptions!$E31:$KZ31,Assumptions!$E$12:$KZ$12,$B$2,Assumptions!$E$13:$KZ$13,W$11)</f>
        <v>5</v>
      </c>
      <c r="X29" s="263">
        <f>SUMIFS(Assumptions!$E31:$KZ31,Assumptions!$E$12:$KZ$12,$B$2,Assumptions!$E$13:$KZ$13,X$11)</f>
        <v>0</v>
      </c>
      <c r="Y29" s="263">
        <f>SUMIFS(Assumptions!$E31:$KZ31,Assumptions!$E$12:$KZ$12,$B$2,Assumptions!$E$13:$KZ$13,Y$11)</f>
        <v>0</v>
      </c>
      <c r="Z29" s="263">
        <f>SUMIFS(Assumptions!$E31:$KZ31,Assumptions!$E$12:$KZ$12,$B$2,Assumptions!$E$13:$KZ$13,Z$11)</f>
        <v>9</v>
      </c>
      <c r="AA29" s="283"/>
      <c r="AB29" s="284"/>
      <c r="AC29" s="284"/>
    </row>
    <row r="30" spans="2:29">
      <c r="B30" s="345"/>
      <c r="C30" s="17" t="s">
        <v>92</v>
      </c>
      <c r="D30" t="s">
        <v>84</v>
      </c>
      <c r="E30" s="263">
        <f>SUMIFS(Assumptions!$E32:$KZ32,Assumptions!$E$12:$KZ$12,$B$2,Assumptions!$E$13:$KZ$13,E$11)</f>
        <v>4</v>
      </c>
      <c r="F30" s="263">
        <f>SUMIFS(Assumptions!$E32:$KZ32,Assumptions!$E$12:$KZ$12,$B$2,Assumptions!$E$13:$KZ$13,F$11)</f>
        <v>4</v>
      </c>
      <c r="G30" s="263">
        <f>SUMIFS(Assumptions!$E32:$KZ32,Assumptions!$E$12:$KZ$12,$B$2,Assumptions!$E$13:$KZ$13,G$11)</f>
        <v>3</v>
      </c>
      <c r="H30" s="263">
        <f>SUMIFS(Assumptions!$E32:$KZ32,Assumptions!$E$12:$KZ$12,$B$2,Assumptions!$E$13:$KZ$13,H$11)</f>
        <v>3</v>
      </c>
      <c r="I30" s="263">
        <f>SUMIFS(Assumptions!$E32:$KZ32,Assumptions!$E$12:$KZ$12,$B$2,Assumptions!$E$13:$KZ$13,I$11)</f>
        <v>4</v>
      </c>
      <c r="J30" s="263">
        <f>SUMIFS(Assumptions!$E32:$KZ32,Assumptions!$E$12:$KZ$12,$B$2,Assumptions!$E$13:$KZ$13,J$11)</f>
        <v>4</v>
      </c>
      <c r="K30" s="263">
        <f>SUMIFS(Assumptions!$E32:$KZ32,Assumptions!$E$12:$KZ$12,$B$2,Assumptions!$E$13:$KZ$13,K$11)</f>
        <v>4</v>
      </c>
      <c r="L30" s="263">
        <f>SUMIFS(Assumptions!$E32:$KZ32,Assumptions!$E$12:$KZ$12,$B$2,Assumptions!$E$13:$KZ$13,L$11)</f>
        <v>4</v>
      </c>
      <c r="M30" s="263">
        <f>SUMIFS(Assumptions!$E32:$KZ32,Assumptions!$E$12:$KZ$12,$B$2,Assumptions!$E$13:$KZ$13,M$11)</f>
        <v>2</v>
      </c>
      <c r="N30" s="263">
        <f>SUMIFS(Assumptions!$E32:$KZ32,Assumptions!$E$12:$KZ$12,$B$2,Assumptions!$E$13:$KZ$13,N$11)</f>
        <v>3</v>
      </c>
      <c r="O30" s="263">
        <f>SUMIFS(Assumptions!$E32:$KZ32,Assumptions!$E$12:$KZ$12,$B$2,Assumptions!$E$13:$KZ$13,O$11)</f>
        <v>3</v>
      </c>
      <c r="P30" s="263">
        <f>SUMIFS(Assumptions!$E32:$KZ32,Assumptions!$E$12:$KZ$12,$B$2,Assumptions!$E$13:$KZ$13,P$11)</f>
        <v>7</v>
      </c>
      <c r="Q30" s="263">
        <f>SUMIFS(Assumptions!$E32:$KZ32,Assumptions!$E$12:$KZ$12,$B$2,Assumptions!$E$13:$KZ$13,Q$11)</f>
        <v>10</v>
      </c>
      <c r="R30" s="263">
        <f>SUMIFS(Assumptions!$E32:$KZ32,Assumptions!$E$12:$KZ$12,$B$2,Assumptions!$E$13:$KZ$13,R$11)</f>
        <v>10</v>
      </c>
      <c r="S30" s="263">
        <f>SUMIFS(Assumptions!$E32:$KZ32,Assumptions!$E$12:$KZ$12,$B$2,Assumptions!$E$13:$KZ$13,S$11)</f>
        <v>2</v>
      </c>
      <c r="T30" s="263">
        <f>SUMIFS(Assumptions!$E32:$KZ32,Assumptions!$E$12:$KZ$12,$B$2,Assumptions!$E$13:$KZ$13,T$11)</f>
        <v>10</v>
      </c>
      <c r="U30" s="263">
        <f>SUMIFS(Assumptions!$E32:$KZ32,Assumptions!$E$12:$KZ$12,$B$2,Assumptions!$E$13:$KZ$13,U$11)</f>
        <v>1</v>
      </c>
      <c r="V30" s="263">
        <f>SUMIFS(Assumptions!$E32:$KZ32,Assumptions!$E$12:$KZ$12,$B$2,Assumptions!$E$13:$KZ$13,V$11)</f>
        <v>5</v>
      </c>
      <c r="W30" s="263">
        <f>SUMIFS(Assumptions!$E32:$KZ32,Assumptions!$E$12:$KZ$12,$B$2,Assumptions!$E$13:$KZ$13,W$11)</f>
        <v>5</v>
      </c>
      <c r="X30" s="263">
        <f>SUMIFS(Assumptions!$E32:$KZ32,Assumptions!$E$12:$KZ$12,$B$2,Assumptions!$E$13:$KZ$13,X$11)</f>
        <v>10</v>
      </c>
      <c r="Y30" s="263">
        <f>SUMIFS(Assumptions!$E32:$KZ32,Assumptions!$E$12:$KZ$12,$B$2,Assumptions!$E$13:$KZ$13,Y$11)</f>
        <v>0</v>
      </c>
      <c r="Z30" s="263">
        <f>SUMIFS(Assumptions!$E32:$KZ32,Assumptions!$E$12:$KZ$12,$B$2,Assumptions!$E$13:$KZ$13,Z$11)</f>
        <v>8</v>
      </c>
      <c r="AA30" s="283"/>
      <c r="AB30" s="284"/>
      <c r="AC30" s="284"/>
    </row>
    <row r="31" spans="2:29">
      <c r="B31" s="345"/>
      <c r="C31" s="17" t="s">
        <v>93</v>
      </c>
      <c r="D31" t="s">
        <v>94</v>
      </c>
      <c r="E31" s="276">
        <f>SUMIFS(Assumptions!$E33:$KZ33,Assumptions!$E$12:$KZ$12,$B$2,Assumptions!$E$13:$KZ$13,E$11)</f>
        <v>1.2537499999999999</v>
      </c>
      <c r="F31" s="276">
        <f>SUMIFS(Assumptions!$E33:$KZ33,Assumptions!$E$12:$KZ$12,$B$2,Assumptions!$E$13:$KZ$13,F$11)</f>
        <v>2.5074999999999998</v>
      </c>
      <c r="G31" s="276">
        <f>SUMIFS(Assumptions!$E33:$KZ33,Assumptions!$E$12:$KZ$12,$B$2,Assumptions!$E$13:$KZ$13,G$11)</f>
        <v>4.0990000000000002</v>
      </c>
      <c r="H31" s="276">
        <f>SUMIFS(Assumptions!$E33:$KZ33,Assumptions!$E$12:$KZ$12,$B$2,Assumptions!$E$13:$KZ$13,H$11)</f>
        <v>8.1980000000000004</v>
      </c>
      <c r="I31" s="276">
        <f>SUMIFS(Assumptions!$E33:$KZ33,Assumptions!$E$12:$KZ$12,$B$2,Assumptions!$E$13:$KZ$13,I$11)</f>
        <v>2.7030000000000003</v>
      </c>
      <c r="J31" s="276">
        <f>SUMIFS(Assumptions!$E33:$KZ33,Assumptions!$E$12:$KZ$12,$B$2,Assumptions!$E$13:$KZ$13,J$11)</f>
        <v>5.4060000000000006</v>
      </c>
      <c r="K31" s="276">
        <f>SUMIFS(Assumptions!$E33:$KZ33,Assumptions!$E$12:$KZ$12,$B$2,Assumptions!$E$13:$KZ$13,K$11)</f>
        <v>4.75</v>
      </c>
      <c r="L31" s="276">
        <f>SUMIFS(Assumptions!$E33:$KZ33,Assumptions!$E$12:$KZ$12,$B$2,Assumptions!$E$13:$KZ$13,L$11)</f>
        <v>9.5</v>
      </c>
      <c r="M31" s="276">
        <f>SUMIFS(Assumptions!$E33:$KZ33,Assumptions!$E$12:$KZ$12,$B$2,Assumptions!$E$13:$KZ$13,M$11)</f>
        <v>3.1</v>
      </c>
      <c r="N31" s="276">
        <f>SUMIFS(Assumptions!$E33:$KZ33,Assumptions!$E$12:$KZ$12,$B$2,Assumptions!$E$13:$KZ$13,N$11)</f>
        <v>1.25</v>
      </c>
      <c r="O31" s="276">
        <f>SUMIFS(Assumptions!$E33:$KZ33,Assumptions!$E$12:$KZ$12,$B$2,Assumptions!$E$13:$KZ$13,O$11)</f>
        <v>0.52600000000000002</v>
      </c>
      <c r="P31" s="276">
        <f>SUMIFS(Assumptions!$E33:$KZ33,Assumptions!$E$12:$KZ$12,$B$2,Assumptions!$E$13:$KZ$13,P$11)</f>
        <v>-36.564999999999998</v>
      </c>
      <c r="Q31" s="276">
        <f>SUMIFS(Assumptions!$E33:$KZ33,Assumptions!$E$12:$KZ$12,$B$2,Assumptions!$E$13:$KZ$13,Q$11)</f>
        <v>0</v>
      </c>
      <c r="R31" s="276">
        <f>SUMIFS(Assumptions!$E33:$KZ33,Assumptions!$E$12:$KZ$12,$B$2,Assumptions!$E$13:$KZ$13,R$11)</f>
        <v>-7.9729999999999999</v>
      </c>
      <c r="S31" s="276">
        <f>SUMIFS(Assumptions!$E33:$KZ33,Assumptions!$E$12:$KZ$12,$B$2,Assumptions!$E$13:$KZ$13,S$11)</f>
        <v>0</v>
      </c>
      <c r="T31" s="276">
        <f>SUMIFS(Assumptions!$E33:$KZ33,Assumptions!$E$12:$KZ$12,$B$2,Assumptions!$E$13:$KZ$13,T$11)</f>
        <v>-1.7</v>
      </c>
      <c r="U31" s="276">
        <f>SUMIFS(Assumptions!$E33:$KZ33,Assumptions!$E$12:$KZ$12,$B$2,Assumptions!$E$13:$KZ$13,U$11)</f>
        <v>113</v>
      </c>
      <c r="V31" s="276">
        <f>SUMIFS(Assumptions!$E33:$KZ33,Assumptions!$E$12:$KZ$12,$B$2,Assumptions!$E$13:$KZ$13,V$11)</f>
        <v>0.62687499999999996</v>
      </c>
      <c r="W31" s="276">
        <f>SUMIFS(Assumptions!$E33:$KZ33,Assumptions!$E$12:$KZ$12,$B$2,Assumptions!$E$13:$KZ$13,W$11)</f>
        <v>1.2537499999999999</v>
      </c>
      <c r="X31" s="276">
        <f>SUMIFS(Assumptions!$E33:$KZ33,Assumptions!$E$12:$KZ$12,$B$2,Assumptions!$E$13:$KZ$13,X$11)</f>
        <v>0</v>
      </c>
      <c r="Y31" s="276">
        <f>SUMIFS(Assumptions!$E33:$KZ33,Assumptions!$E$12:$KZ$12,$B$2,Assumptions!$E$13:$KZ$13,Y$11)</f>
        <v>0</v>
      </c>
      <c r="Z31" s="276">
        <f>SUMIFS(Assumptions!$E33:$KZ33,Assumptions!$E$12:$KZ$12,$B$2,Assumptions!$E$13:$KZ$13,Z$11)</f>
        <v>-3.9864999999999999</v>
      </c>
      <c r="AA31" s="285"/>
      <c r="AB31" s="286"/>
      <c r="AC31" s="286"/>
    </row>
    <row r="32" spans="2:29">
      <c r="B32" s="346" t="s">
        <v>95</v>
      </c>
      <c r="C32" s="271" t="s">
        <v>96</v>
      </c>
      <c r="D32" s="83" t="s">
        <v>84</v>
      </c>
      <c r="E32" s="277">
        <f>SUMIFS(Assumptions!$E34:$KZ34,Assumptions!$E$12:$KZ$12,$B$2,Assumptions!$E$13:$KZ$13,E$11)</f>
        <v>10</v>
      </c>
      <c r="F32" s="277">
        <f>SUMIFS(Assumptions!$E34:$KZ34,Assumptions!$E$12:$KZ$12,$B$2,Assumptions!$E$13:$KZ$13,F$11)</f>
        <v>10</v>
      </c>
      <c r="G32" s="277">
        <f>SUMIFS(Assumptions!$E34:$KZ34,Assumptions!$E$12:$KZ$12,$B$2,Assumptions!$E$13:$KZ$13,G$11)</f>
        <v>10</v>
      </c>
      <c r="H32" s="277">
        <f>SUMIFS(Assumptions!$E34:$KZ34,Assumptions!$E$12:$KZ$12,$B$2,Assumptions!$E$13:$KZ$13,H$11)</f>
        <v>10</v>
      </c>
      <c r="I32" s="277">
        <f>SUMIFS(Assumptions!$E34:$KZ34,Assumptions!$E$12:$KZ$12,$B$2,Assumptions!$E$13:$KZ$13,I$11)</f>
        <v>10</v>
      </c>
      <c r="J32" s="277">
        <f>SUMIFS(Assumptions!$E34:$KZ34,Assumptions!$E$12:$KZ$12,$B$2,Assumptions!$E$13:$KZ$13,J$11)</f>
        <v>10</v>
      </c>
      <c r="K32" s="277">
        <f>SUMIFS(Assumptions!$E34:$KZ34,Assumptions!$E$12:$KZ$12,$B$2,Assumptions!$E$13:$KZ$13,K$11)</f>
        <v>10</v>
      </c>
      <c r="L32" s="277">
        <f>SUMIFS(Assumptions!$E34:$KZ34,Assumptions!$E$12:$KZ$12,$B$2,Assumptions!$E$13:$KZ$13,L$11)</f>
        <v>10</v>
      </c>
      <c r="M32" s="277">
        <f>SUMIFS(Assumptions!$E34:$KZ34,Assumptions!$E$12:$KZ$12,$B$2,Assumptions!$E$13:$KZ$13,M$11)</f>
        <v>10</v>
      </c>
      <c r="N32" s="277">
        <f>SUMIFS(Assumptions!$E34:$KZ34,Assumptions!$E$12:$KZ$12,$B$2,Assumptions!$E$13:$KZ$13,N$11)</f>
        <v>10</v>
      </c>
      <c r="O32" s="277">
        <f>SUMIFS(Assumptions!$E34:$KZ34,Assumptions!$E$12:$KZ$12,$B$2,Assumptions!$E$13:$KZ$13,O$11)</f>
        <v>10</v>
      </c>
      <c r="P32" s="277">
        <f>SUMIFS(Assumptions!$E34:$KZ34,Assumptions!$E$12:$KZ$12,$B$2,Assumptions!$E$13:$KZ$13,P$11)</f>
        <v>8</v>
      </c>
      <c r="Q32" s="277">
        <f>SUMIFS(Assumptions!$E34:$KZ34,Assumptions!$E$12:$KZ$12,$B$2,Assumptions!$E$13:$KZ$13,Q$11)</f>
        <v>10</v>
      </c>
      <c r="R32" s="277">
        <f>SUMIFS(Assumptions!$E34:$KZ34,Assumptions!$E$12:$KZ$12,$B$2,Assumptions!$E$13:$KZ$13,R$11)</f>
        <v>10</v>
      </c>
      <c r="S32" s="277">
        <f>SUMIFS(Assumptions!$E34:$KZ34,Assumptions!$E$12:$KZ$12,$B$2,Assumptions!$E$13:$KZ$13,S$11)</f>
        <v>10</v>
      </c>
      <c r="T32" s="277">
        <f>SUMIFS(Assumptions!$E34:$KZ34,Assumptions!$E$12:$KZ$12,$B$2,Assumptions!$E$13:$KZ$13,T$11)</f>
        <v>10</v>
      </c>
      <c r="U32" s="277">
        <f>SUMIFS(Assumptions!$E34:$KZ34,Assumptions!$E$12:$KZ$12,$B$2,Assumptions!$E$13:$KZ$13,U$11)</f>
        <v>3</v>
      </c>
      <c r="V32" s="277">
        <f>SUMIFS(Assumptions!$E34:$KZ34,Assumptions!$E$12:$KZ$12,$B$2,Assumptions!$E$13:$KZ$13,V$11)</f>
        <v>10</v>
      </c>
      <c r="W32" s="277">
        <f>SUMIFS(Assumptions!$E34:$KZ34,Assumptions!$E$12:$KZ$12,$B$2,Assumptions!$E$13:$KZ$13,W$11)</f>
        <v>10</v>
      </c>
      <c r="X32" s="277">
        <f>SUMIFS(Assumptions!$E34:$KZ34,Assumptions!$E$12:$KZ$12,$B$2,Assumptions!$E$13:$KZ$13,X$11)</f>
        <v>0</v>
      </c>
      <c r="Y32" s="277">
        <f>SUMIFS(Assumptions!$E34:$KZ34,Assumptions!$E$12:$KZ$12,$B$2,Assumptions!$E$13:$KZ$13,Y$11)</f>
        <v>0</v>
      </c>
      <c r="Z32" s="277">
        <f>SUMIFS(Assumptions!$E34:$KZ34,Assumptions!$E$12:$KZ$12,$B$2,Assumptions!$E$13:$KZ$13,Z$11)</f>
        <v>0</v>
      </c>
      <c r="AA32" s="287"/>
      <c r="AB32" s="310"/>
      <c r="AC32" s="310"/>
    </row>
    <row r="33" spans="2:29">
      <c r="B33" s="345"/>
      <c r="C33" s="17" t="s">
        <v>97</v>
      </c>
      <c r="D33" t="s">
        <v>84</v>
      </c>
      <c r="E33" s="263">
        <f>SUMIFS(Assumptions!$E35:$KZ35,Assumptions!$E$12:$KZ$12,$B$2,Assumptions!$E$13:$KZ$13,E$11)</f>
        <v>4</v>
      </c>
      <c r="F33" s="263">
        <f>SUMIFS(Assumptions!$E35:$KZ35,Assumptions!$E$12:$KZ$12,$B$2,Assumptions!$E$13:$KZ$13,F$11)</f>
        <v>4</v>
      </c>
      <c r="G33" s="263">
        <f>SUMIFS(Assumptions!$E35:$KZ35,Assumptions!$E$12:$KZ$12,$B$2,Assumptions!$E$13:$KZ$13,G$11)</f>
        <v>4</v>
      </c>
      <c r="H33" s="263">
        <f>SUMIFS(Assumptions!$E35:$KZ35,Assumptions!$E$12:$KZ$12,$B$2,Assumptions!$E$13:$KZ$13,H$11)</f>
        <v>4</v>
      </c>
      <c r="I33" s="263">
        <f>SUMIFS(Assumptions!$E35:$KZ35,Assumptions!$E$12:$KZ$12,$B$2,Assumptions!$E$13:$KZ$13,I$11)</f>
        <v>4</v>
      </c>
      <c r="J33" s="263">
        <f>SUMIFS(Assumptions!$E35:$KZ35,Assumptions!$E$12:$KZ$12,$B$2,Assumptions!$E$13:$KZ$13,J$11)</f>
        <v>4</v>
      </c>
      <c r="K33" s="263">
        <f>SUMIFS(Assumptions!$E35:$KZ35,Assumptions!$E$12:$KZ$12,$B$2,Assumptions!$E$13:$KZ$13,K$11)</f>
        <v>4</v>
      </c>
      <c r="L33" s="263">
        <f>SUMIFS(Assumptions!$E35:$KZ35,Assumptions!$E$12:$KZ$12,$B$2,Assumptions!$E$13:$KZ$13,L$11)</f>
        <v>4</v>
      </c>
      <c r="M33" s="263">
        <f>SUMIFS(Assumptions!$E35:$KZ35,Assumptions!$E$12:$KZ$12,$B$2,Assumptions!$E$13:$KZ$13,M$11)</f>
        <v>4</v>
      </c>
      <c r="N33" s="263">
        <f>SUMIFS(Assumptions!$E35:$KZ35,Assumptions!$E$12:$KZ$12,$B$2,Assumptions!$E$13:$KZ$13,N$11)</f>
        <v>4</v>
      </c>
      <c r="O33" s="263">
        <f>SUMIFS(Assumptions!$E35:$KZ35,Assumptions!$E$12:$KZ$12,$B$2,Assumptions!$E$13:$KZ$13,O$11)</f>
        <v>4</v>
      </c>
      <c r="P33" s="263">
        <f>SUMIFS(Assumptions!$E35:$KZ35,Assumptions!$E$12:$KZ$12,$B$2,Assumptions!$E$13:$KZ$13,P$11)</f>
        <v>2</v>
      </c>
      <c r="Q33" s="263">
        <f>SUMIFS(Assumptions!$E35:$KZ35,Assumptions!$E$12:$KZ$12,$B$2,Assumptions!$E$13:$KZ$13,Q$11)</f>
        <v>2</v>
      </c>
      <c r="R33" s="273">
        <f>SUMIFS(Assumptions!$E35:$KZ35,Assumptions!$E$12:$KZ$12,$B$2,Assumptions!$E$13:$KZ$13,R$11)</f>
        <v>2</v>
      </c>
      <c r="S33" s="263">
        <f>SUMIFS(Assumptions!$E35:$KZ35,Assumptions!$E$12:$KZ$12,$B$2,Assumptions!$E$13:$KZ$13,S$11)</f>
        <v>8</v>
      </c>
      <c r="T33" s="263">
        <f>SUMIFS(Assumptions!$E35:$KZ35,Assumptions!$E$12:$KZ$12,$B$2,Assumptions!$E$13:$KZ$13,T$11)</f>
        <v>2</v>
      </c>
      <c r="U33" s="263">
        <f>SUMIFS(Assumptions!$E35:$KZ35,Assumptions!$E$12:$KZ$12,$B$2,Assumptions!$E$13:$KZ$13,U$11)</f>
        <v>9</v>
      </c>
      <c r="V33" s="263">
        <f>SUMIFS(Assumptions!$E35:$KZ35,Assumptions!$E$12:$KZ$12,$B$2,Assumptions!$E$13:$KZ$13,V$11)</f>
        <v>9</v>
      </c>
      <c r="W33" s="263">
        <f>SUMIFS(Assumptions!$E35:$KZ35,Assumptions!$E$12:$KZ$12,$B$2,Assumptions!$E$13:$KZ$13,W$11)</f>
        <v>9</v>
      </c>
      <c r="X33" s="263">
        <f>SUMIFS(Assumptions!$E35:$KZ35,Assumptions!$E$12:$KZ$12,$B$2,Assumptions!$E$13:$KZ$13,X$11)</f>
        <v>0</v>
      </c>
      <c r="Y33" s="263">
        <f>SUMIFS(Assumptions!$E35:$KZ35,Assumptions!$E$12:$KZ$12,$B$2,Assumptions!$E$13:$KZ$13,Y$11)</f>
        <v>0</v>
      </c>
      <c r="Z33" s="263">
        <f>SUMIFS(Assumptions!$E35:$KZ35,Assumptions!$E$12:$KZ$12,$B$2,Assumptions!$E$13:$KZ$13,Z$11)</f>
        <v>0</v>
      </c>
      <c r="AA33" s="283"/>
      <c r="AB33" s="284"/>
      <c r="AC33" s="284"/>
    </row>
    <row r="34" spans="2:29">
      <c r="B34" s="345"/>
      <c r="C34" s="17" t="s">
        <v>98</v>
      </c>
      <c r="D34" t="s">
        <v>84</v>
      </c>
      <c r="E34" s="263">
        <f>SUMIFS(Assumptions!$E36:$KZ36,Assumptions!$E$12:$KZ$12,$B$2,Assumptions!$E$13:$KZ$13,E$11)</f>
        <v>4</v>
      </c>
      <c r="F34" s="263">
        <f>SUMIFS(Assumptions!$E36:$KZ36,Assumptions!$E$12:$KZ$12,$B$2,Assumptions!$E$13:$KZ$13,F$11)</f>
        <v>4</v>
      </c>
      <c r="G34" s="263">
        <f>SUMIFS(Assumptions!$E36:$KZ36,Assumptions!$E$12:$KZ$12,$B$2,Assumptions!$E$13:$KZ$13,G$11)</f>
        <v>4</v>
      </c>
      <c r="H34" s="263">
        <f>SUMIFS(Assumptions!$E36:$KZ36,Assumptions!$E$12:$KZ$12,$B$2,Assumptions!$E$13:$KZ$13,H$11)</f>
        <v>4</v>
      </c>
      <c r="I34" s="263">
        <f>SUMIFS(Assumptions!$E36:$KZ36,Assumptions!$E$12:$KZ$12,$B$2,Assumptions!$E$13:$KZ$13,I$11)</f>
        <v>4</v>
      </c>
      <c r="J34" s="263">
        <f>SUMIFS(Assumptions!$E36:$KZ36,Assumptions!$E$12:$KZ$12,$B$2,Assumptions!$E$13:$KZ$13,J$11)</f>
        <v>4</v>
      </c>
      <c r="K34" s="263">
        <f>SUMIFS(Assumptions!$E36:$KZ36,Assumptions!$E$12:$KZ$12,$B$2,Assumptions!$E$13:$KZ$13,K$11)</f>
        <v>4</v>
      </c>
      <c r="L34" s="263">
        <f>SUMIFS(Assumptions!$E36:$KZ36,Assumptions!$E$12:$KZ$12,$B$2,Assumptions!$E$13:$KZ$13,L$11)</f>
        <v>4</v>
      </c>
      <c r="M34" s="263">
        <f>SUMIFS(Assumptions!$E36:$KZ36,Assumptions!$E$12:$KZ$12,$B$2,Assumptions!$E$13:$KZ$13,M$11)</f>
        <v>4</v>
      </c>
      <c r="N34" s="263">
        <f>SUMIFS(Assumptions!$E36:$KZ36,Assumptions!$E$12:$KZ$12,$B$2,Assumptions!$E$13:$KZ$13,N$11)</f>
        <v>3</v>
      </c>
      <c r="O34" s="263">
        <f>SUMIFS(Assumptions!$E36:$KZ36,Assumptions!$E$12:$KZ$12,$B$2,Assumptions!$E$13:$KZ$13,O$11)</f>
        <v>3</v>
      </c>
      <c r="P34" s="263">
        <f>SUMIFS(Assumptions!$E36:$KZ36,Assumptions!$E$12:$KZ$12,$B$2,Assumptions!$E$13:$KZ$13,P$11)</f>
        <v>3</v>
      </c>
      <c r="Q34" s="263">
        <f>SUMIFS(Assumptions!$E36:$KZ36,Assumptions!$E$12:$KZ$12,$B$2,Assumptions!$E$13:$KZ$13,Q$11)</f>
        <v>0</v>
      </c>
      <c r="R34" s="273">
        <f>SUMIFS(Assumptions!$E36:$KZ36,Assumptions!$E$12:$KZ$12,$B$2,Assumptions!$E$13:$KZ$13,R$11)</f>
        <v>0</v>
      </c>
      <c r="S34" s="263">
        <f>SUMIFS(Assumptions!$E36:$KZ36,Assumptions!$E$12:$KZ$12,$B$2,Assumptions!$E$13:$KZ$13,S$11)</f>
        <v>0</v>
      </c>
      <c r="T34" s="263">
        <f>SUMIFS(Assumptions!$E36:$KZ36,Assumptions!$E$12:$KZ$12,$B$2,Assumptions!$E$13:$KZ$13,T$11)</f>
        <v>0</v>
      </c>
      <c r="U34" s="263">
        <f>SUMIFS(Assumptions!$E36:$KZ36,Assumptions!$E$12:$KZ$12,$B$2,Assumptions!$E$13:$KZ$13,U$11)</f>
        <v>8</v>
      </c>
      <c r="V34" s="263">
        <f>SUMIFS(Assumptions!$E36:$KZ36,Assumptions!$E$12:$KZ$12,$B$2,Assumptions!$E$13:$KZ$13,V$11)</f>
        <v>4</v>
      </c>
      <c r="W34" s="263">
        <f>SUMIFS(Assumptions!$E36:$KZ36,Assumptions!$E$12:$KZ$12,$B$2,Assumptions!$E$13:$KZ$13,W$11)</f>
        <v>4</v>
      </c>
      <c r="X34" s="263">
        <f>SUMIFS(Assumptions!$E36:$KZ36,Assumptions!$E$12:$KZ$12,$B$2,Assumptions!$E$13:$KZ$13,X$11)</f>
        <v>0</v>
      </c>
      <c r="Y34" s="263">
        <f>SUMIFS(Assumptions!$E36:$KZ36,Assumptions!$E$12:$KZ$12,$B$2,Assumptions!$E$13:$KZ$13,Y$11)</f>
        <v>0</v>
      </c>
      <c r="Z34" s="263">
        <f>SUMIFS(Assumptions!$E36:$KZ36,Assumptions!$E$12:$KZ$12,$B$2,Assumptions!$E$13:$KZ$13,Z$11)</f>
        <v>0</v>
      </c>
      <c r="AA34" s="283"/>
      <c r="AB34" s="284"/>
      <c r="AC34" s="284"/>
    </row>
    <row r="35" spans="2:29">
      <c r="B35" s="345"/>
      <c r="C35" s="17" t="s">
        <v>99</v>
      </c>
      <c r="D35" t="s">
        <v>84</v>
      </c>
      <c r="E35" s="263">
        <f>SUMIFS(Assumptions!$E37:$KZ37,Assumptions!$E$12:$KZ$12,$B$2,Assumptions!$E$13:$KZ$13,E$11)</f>
        <v>7</v>
      </c>
      <c r="F35" s="263">
        <f>SUMIFS(Assumptions!$E37:$KZ37,Assumptions!$E$12:$KZ$12,$B$2,Assumptions!$E$13:$KZ$13,F$11)</f>
        <v>7</v>
      </c>
      <c r="G35" s="263">
        <f>SUMIFS(Assumptions!$E37:$KZ37,Assumptions!$E$12:$KZ$12,$B$2,Assumptions!$E$13:$KZ$13,G$11)</f>
        <v>7</v>
      </c>
      <c r="H35" s="263">
        <f>SUMIFS(Assumptions!$E37:$KZ37,Assumptions!$E$12:$KZ$12,$B$2,Assumptions!$E$13:$KZ$13,H$11)</f>
        <v>7</v>
      </c>
      <c r="I35" s="263">
        <f>SUMIFS(Assumptions!$E37:$KZ37,Assumptions!$E$12:$KZ$12,$B$2,Assumptions!$E$13:$KZ$13,I$11)</f>
        <v>7</v>
      </c>
      <c r="J35" s="263">
        <f>SUMIFS(Assumptions!$E37:$KZ37,Assumptions!$E$12:$KZ$12,$B$2,Assumptions!$E$13:$KZ$13,J$11)</f>
        <v>7</v>
      </c>
      <c r="K35" s="263">
        <f>SUMIFS(Assumptions!$E37:$KZ37,Assumptions!$E$12:$KZ$12,$B$2,Assumptions!$E$13:$KZ$13,K$11)</f>
        <v>7</v>
      </c>
      <c r="L35" s="263">
        <f>SUMIFS(Assumptions!$E37:$KZ37,Assumptions!$E$12:$KZ$12,$B$2,Assumptions!$E$13:$KZ$13,L$11)</f>
        <v>7</v>
      </c>
      <c r="M35" s="263">
        <f>SUMIFS(Assumptions!$E37:$KZ37,Assumptions!$E$12:$KZ$12,$B$2,Assumptions!$E$13:$KZ$13,M$11)</f>
        <v>7</v>
      </c>
      <c r="N35" s="263">
        <f>SUMIFS(Assumptions!$E37:$KZ37,Assumptions!$E$12:$KZ$12,$B$2,Assumptions!$E$13:$KZ$13,N$11)</f>
        <v>7</v>
      </c>
      <c r="O35" s="263">
        <f>SUMIFS(Assumptions!$E37:$KZ37,Assumptions!$E$12:$KZ$12,$B$2,Assumptions!$E$13:$KZ$13,O$11)</f>
        <v>7</v>
      </c>
      <c r="P35" s="263">
        <f>SUMIFS(Assumptions!$E37:$KZ37,Assumptions!$E$12:$KZ$12,$B$2,Assumptions!$E$13:$KZ$13,P$11)</f>
        <v>6</v>
      </c>
      <c r="Q35" s="263">
        <f>SUMIFS(Assumptions!$E37:$KZ37,Assumptions!$E$12:$KZ$12,$B$2,Assumptions!$E$13:$KZ$13,Q$11)</f>
        <v>6</v>
      </c>
      <c r="R35" s="273">
        <f>SUMIFS(Assumptions!$E37:$KZ37,Assumptions!$E$12:$KZ$12,$B$2,Assumptions!$E$13:$KZ$13,R$11)</f>
        <v>6</v>
      </c>
      <c r="S35" s="263">
        <f>SUMIFS(Assumptions!$E37:$KZ37,Assumptions!$E$12:$KZ$12,$B$2,Assumptions!$E$13:$KZ$13,S$11)</f>
        <v>8</v>
      </c>
      <c r="T35" s="263">
        <f>SUMIFS(Assumptions!$E37:$KZ37,Assumptions!$E$12:$KZ$12,$B$2,Assumptions!$E$13:$KZ$13,T$11)</f>
        <v>8</v>
      </c>
      <c r="U35" s="263">
        <f>SUMIFS(Assumptions!$E37:$KZ37,Assumptions!$E$12:$KZ$12,$B$2,Assumptions!$E$13:$KZ$13,U$11)</f>
        <v>5</v>
      </c>
      <c r="V35" s="263">
        <f>SUMIFS(Assumptions!$E37:$KZ37,Assumptions!$E$12:$KZ$12,$B$2,Assumptions!$E$13:$KZ$13,V$11)</f>
        <v>7</v>
      </c>
      <c r="W35" s="263">
        <f>SUMIFS(Assumptions!$E37:$KZ37,Assumptions!$E$12:$KZ$12,$B$2,Assumptions!$E$13:$KZ$13,W$11)</f>
        <v>7</v>
      </c>
      <c r="X35" s="263">
        <f>SUMIFS(Assumptions!$E37:$KZ37,Assumptions!$E$12:$KZ$12,$B$2,Assumptions!$E$13:$KZ$13,X$11)</f>
        <v>0</v>
      </c>
      <c r="Y35" s="263">
        <f>SUMIFS(Assumptions!$E37:$KZ37,Assumptions!$E$12:$KZ$12,$B$2,Assumptions!$E$13:$KZ$13,Y$11)</f>
        <v>0</v>
      </c>
      <c r="Z35" s="263">
        <f>SUMIFS(Assumptions!$E37:$KZ37,Assumptions!$E$12:$KZ$12,$B$2,Assumptions!$E$13:$KZ$13,Z$11)</f>
        <v>0</v>
      </c>
      <c r="AA35" s="283"/>
      <c r="AB35" s="284"/>
      <c r="AC35" s="284"/>
    </row>
    <row r="36" spans="2:29">
      <c r="B36" s="345"/>
      <c r="C36" s="17" t="s">
        <v>100</v>
      </c>
      <c r="D36" t="s">
        <v>84</v>
      </c>
      <c r="E36" s="263">
        <f>SUMIFS(Assumptions!$E38:$KZ38,Assumptions!$E$12:$KZ$12,$B$2,Assumptions!$E$13:$KZ$13,E$11)</f>
        <v>7</v>
      </c>
      <c r="F36" s="263">
        <f>SUMIFS(Assumptions!$E38:$KZ38,Assumptions!$E$12:$KZ$12,$B$2,Assumptions!$E$13:$KZ$13,F$11)</f>
        <v>7</v>
      </c>
      <c r="G36" s="263">
        <f>SUMIFS(Assumptions!$E38:$KZ38,Assumptions!$E$12:$KZ$12,$B$2,Assumptions!$E$13:$KZ$13,G$11)</f>
        <v>7</v>
      </c>
      <c r="H36" s="263">
        <f>SUMIFS(Assumptions!$E38:$KZ38,Assumptions!$E$12:$KZ$12,$B$2,Assumptions!$E$13:$KZ$13,H$11)</f>
        <v>7</v>
      </c>
      <c r="I36" s="263">
        <f>SUMIFS(Assumptions!$E38:$KZ38,Assumptions!$E$12:$KZ$12,$B$2,Assumptions!$E$13:$KZ$13,I$11)</f>
        <v>7</v>
      </c>
      <c r="J36" s="263">
        <f>SUMIFS(Assumptions!$E38:$KZ38,Assumptions!$E$12:$KZ$12,$B$2,Assumptions!$E$13:$KZ$13,J$11)</f>
        <v>7</v>
      </c>
      <c r="K36" s="263">
        <f>SUMIFS(Assumptions!$E38:$KZ38,Assumptions!$E$12:$KZ$12,$B$2,Assumptions!$E$13:$KZ$13,K$11)</f>
        <v>7</v>
      </c>
      <c r="L36" s="263">
        <f>SUMIFS(Assumptions!$E38:$KZ38,Assumptions!$E$12:$KZ$12,$B$2,Assumptions!$E$13:$KZ$13,L$11)</f>
        <v>7</v>
      </c>
      <c r="M36" s="263">
        <f>SUMIFS(Assumptions!$E38:$KZ38,Assumptions!$E$12:$KZ$12,$B$2,Assumptions!$E$13:$KZ$13,M$11)</f>
        <v>7</v>
      </c>
      <c r="N36" s="263">
        <f>SUMIFS(Assumptions!$E38:$KZ38,Assumptions!$E$12:$KZ$12,$B$2,Assumptions!$E$13:$KZ$13,N$11)</f>
        <v>7</v>
      </c>
      <c r="O36" s="263">
        <f>SUMIFS(Assumptions!$E38:$KZ38,Assumptions!$E$12:$KZ$12,$B$2,Assumptions!$E$13:$KZ$13,O$11)</f>
        <v>7</v>
      </c>
      <c r="P36" s="263">
        <f>SUMIFS(Assumptions!$E38:$KZ38,Assumptions!$E$12:$KZ$12,$B$2,Assumptions!$E$13:$KZ$13,P$11)</f>
        <v>6</v>
      </c>
      <c r="Q36" s="263">
        <f>SUMIFS(Assumptions!$E38:$KZ38,Assumptions!$E$12:$KZ$12,$B$2,Assumptions!$E$13:$KZ$13,Q$11)</f>
        <v>6</v>
      </c>
      <c r="R36" s="273">
        <f>SUMIFS(Assumptions!$E38:$KZ38,Assumptions!$E$12:$KZ$12,$B$2,Assumptions!$E$13:$KZ$13,R$11)</f>
        <v>6</v>
      </c>
      <c r="S36" s="263">
        <f>SUMIFS(Assumptions!$E38:$KZ38,Assumptions!$E$12:$KZ$12,$B$2,Assumptions!$E$13:$KZ$13,S$11)</f>
        <v>8</v>
      </c>
      <c r="T36" s="263">
        <f>SUMIFS(Assumptions!$E38:$KZ38,Assumptions!$E$12:$KZ$12,$B$2,Assumptions!$E$13:$KZ$13,T$11)</f>
        <v>8</v>
      </c>
      <c r="U36" s="263">
        <f>SUMIFS(Assumptions!$E38:$KZ38,Assumptions!$E$12:$KZ$12,$B$2,Assumptions!$E$13:$KZ$13,U$11)</f>
        <v>5</v>
      </c>
      <c r="V36" s="263">
        <f>SUMIFS(Assumptions!$E38:$KZ38,Assumptions!$E$12:$KZ$12,$B$2,Assumptions!$E$13:$KZ$13,V$11)</f>
        <v>7</v>
      </c>
      <c r="W36" s="263">
        <f>SUMIFS(Assumptions!$E38:$KZ38,Assumptions!$E$12:$KZ$12,$B$2,Assumptions!$E$13:$KZ$13,W$11)</f>
        <v>7</v>
      </c>
      <c r="X36" s="263">
        <f>SUMIFS(Assumptions!$E38:$KZ38,Assumptions!$E$12:$KZ$12,$B$2,Assumptions!$E$13:$KZ$13,X$11)</f>
        <v>0</v>
      </c>
      <c r="Y36" s="263">
        <f>SUMIFS(Assumptions!$E38:$KZ38,Assumptions!$E$12:$KZ$12,$B$2,Assumptions!$E$13:$KZ$13,Y$11)</f>
        <v>0</v>
      </c>
      <c r="Z36" s="263">
        <f>SUMIFS(Assumptions!$E38:$KZ38,Assumptions!$E$12:$KZ$12,$B$2,Assumptions!$E$13:$KZ$13,Z$11)</f>
        <v>0</v>
      </c>
      <c r="AA36" s="283"/>
      <c r="AB36" s="284"/>
      <c r="AC36" s="284"/>
    </row>
    <row r="37" spans="2:29">
      <c r="B37" s="347"/>
      <c r="C37" s="203" t="s">
        <v>101</v>
      </c>
      <c r="D37" s="84" t="s">
        <v>84</v>
      </c>
      <c r="E37" s="275">
        <f>SUMIFS(Assumptions!$E39:$KZ39,Assumptions!$E$12:$KZ$12,$B$2,Assumptions!$E$13:$KZ$13,E$11)</f>
        <v>10</v>
      </c>
      <c r="F37" s="275">
        <f>SUMIFS(Assumptions!$E39:$KZ39,Assumptions!$E$12:$KZ$12,$B$2,Assumptions!$E$13:$KZ$13,F$11)</f>
        <v>10</v>
      </c>
      <c r="G37" s="275">
        <f>SUMIFS(Assumptions!$E39:$KZ39,Assumptions!$E$12:$KZ$12,$B$2,Assumptions!$E$13:$KZ$13,G$11)</f>
        <v>10</v>
      </c>
      <c r="H37" s="275">
        <f>SUMIFS(Assumptions!$E39:$KZ39,Assumptions!$E$12:$KZ$12,$B$2,Assumptions!$E$13:$KZ$13,H$11)</f>
        <v>10</v>
      </c>
      <c r="I37" s="275">
        <f>SUMIFS(Assumptions!$E39:$KZ39,Assumptions!$E$12:$KZ$12,$B$2,Assumptions!$E$13:$KZ$13,I$11)</f>
        <v>10</v>
      </c>
      <c r="J37" s="275">
        <f>SUMIFS(Assumptions!$E39:$KZ39,Assumptions!$E$12:$KZ$12,$B$2,Assumptions!$E$13:$KZ$13,J$11)</f>
        <v>10</v>
      </c>
      <c r="K37" s="275">
        <f>SUMIFS(Assumptions!$E39:$KZ39,Assumptions!$E$12:$KZ$12,$B$2,Assumptions!$E$13:$KZ$13,K$11)</f>
        <v>10</v>
      </c>
      <c r="L37" s="275">
        <f>SUMIFS(Assumptions!$E39:$KZ39,Assumptions!$E$12:$KZ$12,$B$2,Assumptions!$E$13:$KZ$13,L$11)</f>
        <v>10</v>
      </c>
      <c r="M37" s="275">
        <f>SUMIFS(Assumptions!$E39:$KZ39,Assumptions!$E$12:$KZ$12,$B$2,Assumptions!$E$13:$KZ$13,M$11)</f>
        <v>10</v>
      </c>
      <c r="N37" s="275">
        <f>SUMIFS(Assumptions!$E39:$KZ39,Assumptions!$E$12:$KZ$12,$B$2,Assumptions!$E$13:$KZ$13,N$11)</f>
        <v>10</v>
      </c>
      <c r="O37" s="275">
        <f>SUMIFS(Assumptions!$E39:$KZ39,Assumptions!$E$12:$KZ$12,$B$2,Assumptions!$E$13:$KZ$13,O$11)</f>
        <v>10</v>
      </c>
      <c r="P37" s="275">
        <f>SUMIFS(Assumptions!$E39:$KZ39,Assumptions!$E$12:$KZ$12,$B$2,Assumptions!$E$13:$KZ$13,P$11)</f>
        <v>5</v>
      </c>
      <c r="Q37" s="275">
        <f>SUMIFS(Assumptions!$E39:$KZ39,Assumptions!$E$12:$KZ$12,$B$2,Assumptions!$E$13:$KZ$13,Q$11)</f>
        <v>5</v>
      </c>
      <c r="R37" s="275">
        <f>SUMIFS(Assumptions!$E39:$KZ39,Assumptions!$E$12:$KZ$12,$B$2,Assumptions!$E$13:$KZ$13,R$11)</f>
        <v>5</v>
      </c>
      <c r="S37" s="275">
        <f>SUMIFS(Assumptions!$E39:$KZ39,Assumptions!$E$12:$KZ$12,$B$2,Assumptions!$E$13:$KZ$13,S$11)</f>
        <v>10</v>
      </c>
      <c r="T37" s="275">
        <f>SUMIFS(Assumptions!$E39:$KZ39,Assumptions!$E$12:$KZ$12,$B$2,Assumptions!$E$13:$KZ$13,T$11)</f>
        <v>6</v>
      </c>
      <c r="U37" s="275">
        <f>SUMIFS(Assumptions!$E39:$KZ39,Assumptions!$E$12:$KZ$12,$B$2,Assumptions!$E$13:$KZ$13,U$11)</f>
        <v>4</v>
      </c>
      <c r="V37" s="275">
        <f>SUMIFS(Assumptions!$E39:$KZ39,Assumptions!$E$12:$KZ$12,$B$2,Assumptions!$E$13:$KZ$13,V$11)</f>
        <v>10</v>
      </c>
      <c r="W37" s="275">
        <f>SUMIFS(Assumptions!$E39:$KZ39,Assumptions!$E$12:$KZ$12,$B$2,Assumptions!$E$13:$KZ$13,W$11)</f>
        <v>10</v>
      </c>
      <c r="X37" s="275">
        <f>SUMIFS(Assumptions!$E39:$KZ39,Assumptions!$E$12:$KZ$12,$B$2,Assumptions!$E$13:$KZ$13,X$11)</f>
        <v>0</v>
      </c>
      <c r="Y37" s="275">
        <f>SUMIFS(Assumptions!$E39:$KZ39,Assumptions!$E$12:$KZ$12,$B$2,Assumptions!$E$13:$KZ$13,Y$11)</f>
        <v>0</v>
      </c>
      <c r="Z37" s="275">
        <f>SUMIFS(Assumptions!$E39:$KZ39,Assumptions!$E$12:$KZ$12,$B$2,Assumptions!$E$13:$KZ$13,Z$11)</f>
        <v>0</v>
      </c>
      <c r="AA37" s="282"/>
      <c r="AB37" s="288"/>
      <c r="AC37" s="288"/>
    </row>
    <row r="39" spans="2:29" s="14" customFormat="1" hidden="1">
      <c r="C39" s="14" t="s">
        <v>102</v>
      </c>
      <c r="D39" s="14" t="s">
        <v>76</v>
      </c>
      <c r="E39" s="51">
        <f>E19*E15</f>
        <v>159.26080000000002</v>
      </c>
      <c r="F39" s="51">
        <f t="shared" ref="E39:AC39" si="0">F19*F15</f>
        <v>223.9605</v>
      </c>
      <c r="G39" s="51">
        <f t="shared" si="0"/>
        <v>692.80160000000001</v>
      </c>
      <c r="H39" s="51">
        <f t="shared" si="0"/>
        <v>1649.8072</v>
      </c>
      <c r="I39" s="51">
        <f t="shared" si="0"/>
        <v>102.8412</v>
      </c>
      <c r="J39" s="51">
        <f t="shared" si="0"/>
        <v>239.96279999999999</v>
      </c>
      <c r="K39" s="51">
        <f t="shared" si="0"/>
        <v>176.02199999999999</v>
      </c>
      <c r="L39" s="51">
        <f t="shared" si="0"/>
        <v>422.45279999999997</v>
      </c>
      <c r="M39" s="51">
        <f t="shared" si="0"/>
        <v>983.928</v>
      </c>
      <c r="N39" s="51">
        <f t="shared" si="0"/>
        <v>13517.481599999999</v>
      </c>
      <c r="O39" s="51">
        <f t="shared" si="0"/>
        <v>3504.8159999999998</v>
      </c>
      <c r="P39" s="51">
        <f t="shared" si="0"/>
        <v>31.634</v>
      </c>
      <c r="Q39" s="56">
        <f t="shared" si="0"/>
        <v>0</v>
      </c>
      <c r="R39" s="56">
        <f t="shared" si="0"/>
        <v>0</v>
      </c>
      <c r="S39" s="51">
        <f t="shared" si="0"/>
        <v>0</v>
      </c>
      <c r="T39" s="51">
        <f t="shared" si="0"/>
        <v>0</v>
      </c>
      <c r="U39" s="51">
        <f t="shared" si="0"/>
        <v>0</v>
      </c>
      <c r="V39" s="51">
        <f t="shared" si="0"/>
        <v>0</v>
      </c>
      <c r="W39" s="51">
        <f t="shared" si="0"/>
        <v>0</v>
      </c>
      <c r="X39" s="51">
        <f t="shared" si="0"/>
        <v>0</v>
      </c>
      <c r="Y39" s="51">
        <f t="shared" si="0"/>
        <v>0</v>
      </c>
      <c r="Z39" s="51">
        <f t="shared" si="0"/>
        <v>0</v>
      </c>
      <c r="AA39" s="51">
        <f t="shared" si="0"/>
        <v>0</v>
      </c>
      <c r="AB39" s="51">
        <f t="shared" si="0"/>
        <v>0</v>
      </c>
      <c r="AC39" s="51">
        <f t="shared" si="0"/>
        <v>0</v>
      </c>
    </row>
  </sheetData>
  <sheetProtection algorithmName="SHA-512" hashValue="6G8W0AxUHb1P08PbFS5nrZwHE2G5sEagwtGh1Kwu9zCVDNc6KdtPnKOdYvZXqY1C5LbSFIvkNaOQmNy+PL7xpQ==" saltValue="FS68Y2AiJVUwj5tAmw5ZHw==" spinCount="100000" sheet="1" objects="1" scenarios="1"/>
  <mergeCells count="11">
    <mergeCell ref="A2:A3"/>
    <mergeCell ref="B3:C3"/>
    <mergeCell ref="B4:J4"/>
    <mergeCell ref="B32:B37"/>
    <mergeCell ref="B12:B19"/>
    <mergeCell ref="B2:C2"/>
    <mergeCell ref="B5:I5"/>
    <mergeCell ref="B20:B31"/>
    <mergeCell ref="B9:I9"/>
    <mergeCell ref="B7:J7"/>
    <mergeCell ref="B8:J8"/>
  </mergeCells>
  <hyperlinks>
    <hyperlink ref="B5:I5" location="Glossary!A1" display="See Glossary for description of each indicator and its measure (including the interpretation of the scoring)." xr:uid="{362B9448-AE18-4043-B210-F919A1091B8B}"/>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F6245-84C2-4F3F-A56D-FAB6F335BC61}">
  <sheetPr codeName="Sheet6">
    <tabColor theme="6"/>
  </sheetPr>
  <dimension ref="A1:AB53"/>
  <sheetViews>
    <sheetView showGridLines="0" showRowColHeaders="0" zoomScaleNormal="100" workbookViewId="0">
      <selection activeCell="B1" sqref="B1:T52"/>
    </sheetView>
  </sheetViews>
  <sheetFormatPr defaultRowHeight="15"/>
  <cols>
    <col min="1" max="2" width="3" customWidth="1"/>
    <col min="3" max="3" width="3.5703125" customWidth="1"/>
    <col min="4" max="4" width="3" customWidth="1"/>
    <col min="5" max="5" width="34.140625" customWidth="1"/>
    <col min="6" max="6" width="13.5703125" customWidth="1"/>
    <col min="7" max="7" width="8.5703125" customWidth="1"/>
    <col min="8" max="9" width="3.5703125" customWidth="1"/>
    <col min="10" max="10" width="3" customWidth="1"/>
    <col min="11" max="11" width="34.140625" customWidth="1"/>
    <col min="12" max="12" width="13.5703125" customWidth="1"/>
    <col min="13" max="13" width="8.5703125" customWidth="1"/>
    <col min="14" max="15" width="3.5703125" customWidth="1"/>
    <col min="16" max="16" width="3" customWidth="1"/>
    <col min="17" max="17" width="34.140625" customWidth="1"/>
    <col min="18" max="18" width="13.5703125" customWidth="1"/>
    <col min="19" max="19" width="8.5703125" customWidth="1"/>
    <col min="20" max="20" width="3.5703125" customWidth="1"/>
  </cols>
  <sheetData>
    <row r="1" spans="1:20" ht="26.25">
      <c r="A1" s="63"/>
      <c r="B1" s="158" t="s">
        <v>103</v>
      </c>
      <c r="C1" s="158"/>
      <c r="D1" s="63"/>
      <c r="E1" s="64"/>
      <c r="F1" s="64"/>
      <c r="G1" s="64"/>
      <c r="H1" s="64"/>
      <c r="I1" s="63"/>
      <c r="J1" s="65"/>
      <c r="K1" s="63"/>
      <c r="L1" s="64"/>
      <c r="M1" s="64"/>
      <c r="N1" s="64"/>
      <c r="O1" s="63"/>
      <c r="P1" s="64"/>
      <c r="Q1" s="63"/>
      <c r="R1" s="64"/>
      <c r="S1" s="64"/>
      <c r="T1" s="64"/>
    </row>
    <row r="2" spans="1:20" ht="15.75" thickBot="1">
      <c r="A2" s="63"/>
      <c r="B2" s="63"/>
      <c r="C2" s="66"/>
      <c r="D2" s="63"/>
      <c r="E2" s="66"/>
      <c r="F2" s="66"/>
      <c r="G2" s="66"/>
      <c r="H2" s="66"/>
      <c r="I2" s="63"/>
      <c r="J2" s="66"/>
      <c r="K2" s="63"/>
      <c r="L2" s="66"/>
      <c r="M2" s="66"/>
      <c r="N2" s="66"/>
      <c r="O2" s="63"/>
      <c r="P2" s="66"/>
      <c r="Q2" s="63"/>
      <c r="R2" s="67"/>
      <c r="S2" s="67"/>
      <c r="T2" s="67"/>
    </row>
    <row r="3" spans="1:20" ht="21.75" thickBot="1">
      <c r="C3" s="368" t="s">
        <v>24</v>
      </c>
      <c r="D3" s="369"/>
      <c r="E3" s="369"/>
      <c r="F3" s="260" t="str">
        <f>IF(Scenario!B11="","",Scenario!B11)</f>
        <v>Waihī Estuary</v>
      </c>
      <c r="G3" s="260"/>
      <c r="H3" s="261"/>
      <c r="I3" s="261"/>
      <c r="J3" s="261"/>
      <c r="K3" s="261"/>
      <c r="L3" s="261"/>
      <c r="M3" s="261"/>
      <c r="N3" s="261"/>
      <c r="O3" s="261"/>
      <c r="P3" s="261"/>
      <c r="Q3" s="261"/>
      <c r="R3" s="261"/>
      <c r="S3" s="261"/>
      <c r="T3" s="262"/>
    </row>
    <row r="5" spans="1:20" ht="21">
      <c r="C5" s="374" t="s">
        <v>104</v>
      </c>
      <c r="D5" s="374"/>
      <c r="E5" s="374"/>
      <c r="F5" s="374"/>
      <c r="G5" s="374"/>
      <c r="H5" s="374"/>
      <c r="I5" s="374"/>
      <c r="J5" s="374"/>
      <c r="K5" s="374"/>
      <c r="L5" s="374"/>
      <c r="M5" s="374"/>
      <c r="N5" s="374"/>
    </row>
    <row r="6" spans="1:20">
      <c r="C6" s="159"/>
      <c r="D6" s="159" t="s">
        <v>105</v>
      </c>
      <c r="E6" s="160"/>
      <c r="F6" s="160"/>
      <c r="G6" s="160"/>
      <c r="H6" s="161"/>
      <c r="I6" s="170"/>
      <c r="J6" s="159" t="s">
        <v>106</v>
      </c>
      <c r="K6" s="160"/>
      <c r="L6" s="160"/>
      <c r="M6" s="160"/>
      <c r="N6" s="161"/>
    </row>
    <row r="7" spans="1:20">
      <c r="C7" s="162"/>
      <c r="D7" s="31"/>
      <c r="E7" s="31" t="str">
        <f>IF(F$35&gt;=0,$E35,"")</f>
        <v/>
      </c>
      <c r="F7" s="31"/>
      <c r="G7" s="31"/>
      <c r="H7" s="163"/>
      <c r="I7" s="162"/>
      <c r="J7" s="31"/>
      <c r="K7" s="31" t="str">
        <f>IF(F$47&lt;0,$E35,"")</f>
        <v>Value-added - Total regional impact</v>
      </c>
      <c r="L7" s="31"/>
      <c r="M7" s="31"/>
      <c r="N7" s="163"/>
    </row>
    <row r="8" spans="1:20">
      <c r="C8" s="162"/>
      <c r="D8" s="31"/>
      <c r="E8" s="31" t="str">
        <f>IF($F40&gt;=0,$E40,"")</f>
        <v/>
      </c>
      <c r="F8" s="31"/>
      <c r="G8" s="31"/>
      <c r="H8" s="163"/>
      <c r="I8" s="162"/>
      <c r="J8" s="31"/>
      <c r="K8" s="31" t="str">
        <f>IF($F40&lt;0,$E40,"")</f>
        <v>Employment - Total regional impact</v>
      </c>
      <c r="L8" s="31"/>
      <c r="M8" s="31"/>
      <c r="N8" s="163"/>
    </row>
    <row r="9" spans="1:20">
      <c r="C9" s="162"/>
      <c r="D9" s="31"/>
      <c r="E9" s="31" t="str">
        <f>IF($F45&gt;=0,$E45,"")</f>
        <v/>
      </c>
      <c r="F9" s="31"/>
      <c r="G9" s="31"/>
      <c r="H9" s="163"/>
      <c r="I9" s="162"/>
      <c r="J9" s="31"/>
      <c r="K9" s="31" t="str">
        <f>IF($F45&lt;0,$E45,"")</f>
        <v>Land value</v>
      </c>
      <c r="L9" s="31"/>
      <c r="M9" s="31"/>
      <c r="N9" s="163"/>
    </row>
    <row r="10" spans="1:20">
      <c r="C10" s="162"/>
      <c r="D10" s="31"/>
      <c r="E10" s="31" t="str">
        <f>IF($F47&gt;=0,$E47,"")</f>
        <v/>
      </c>
      <c r="F10" s="31"/>
      <c r="G10" s="31"/>
      <c r="H10" s="163"/>
      <c r="I10" s="162"/>
      <c r="J10" s="31"/>
      <c r="K10" s="31" t="str">
        <f>IF($F47&lt;0,$E47,"")</f>
        <v>Income</v>
      </c>
      <c r="L10" s="31"/>
      <c r="M10" s="31"/>
      <c r="N10" s="163"/>
    </row>
    <row r="11" spans="1:20">
      <c r="C11" s="162"/>
      <c r="D11" s="31"/>
      <c r="E11" s="31" t="str">
        <f>IF($L35&lt;=0,$K35,"")</f>
        <v>N loss</v>
      </c>
      <c r="F11" s="31"/>
      <c r="G11" s="31"/>
      <c r="H11" s="163"/>
      <c r="I11" s="162"/>
      <c r="J11" s="31"/>
      <c r="K11" s="31" t="str">
        <f>IF($L35&gt;0,$K35,"")</f>
        <v/>
      </c>
      <c r="L11" s="31"/>
      <c r="M11" s="31"/>
      <c r="N11" s="163"/>
    </row>
    <row r="12" spans="1:20">
      <c r="C12" s="162"/>
      <c r="D12" s="31"/>
      <c r="E12" s="31" t="str">
        <f>IF($L36&lt;=0,$K36,"")</f>
        <v>P loss</v>
      </c>
      <c r="F12" s="31"/>
      <c r="G12" s="31"/>
      <c r="H12" s="163"/>
      <c r="I12" s="162"/>
      <c r="J12" s="31"/>
      <c r="K12" s="31" t="str">
        <f>IF($L36&gt;0,$K36,"")</f>
        <v/>
      </c>
      <c r="L12" s="31"/>
      <c r="M12" s="31"/>
      <c r="N12" s="163"/>
    </row>
    <row r="13" spans="1:20">
      <c r="C13" s="162"/>
      <c r="D13" s="31"/>
      <c r="E13" s="31" t="str">
        <f>IF($L37&lt;=0,$K37,"")</f>
        <v>GHG emissions</v>
      </c>
      <c r="F13" s="31"/>
      <c r="G13" s="31"/>
      <c r="H13" s="163"/>
      <c r="I13" s="162"/>
      <c r="J13" s="31"/>
      <c r="K13" s="31" t="str">
        <f>IF($L37&gt;0,$K37,"")</f>
        <v/>
      </c>
      <c r="L13" s="31"/>
      <c r="M13" s="31"/>
      <c r="N13" s="163"/>
    </row>
    <row r="14" spans="1:20">
      <c r="C14" s="162"/>
      <c r="D14" s="31"/>
      <c r="E14" s="31" t="str">
        <f t="shared" ref="E14:E22" si="0">IF($L41&gt;=0,$K41,"")</f>
        <v>Sediment loss</v>
      </c>
      <c r="F14" s="31"/>
      <c r="G14" s="31"/>
      <c r="H14" s="163"/>
      <c r="I14" s="162"/>
      <c r="J14" s="31"/>
      <c r="K14" s="31" t="str">
        <f t="shared" ref="K14:K22" si="1">IF($L41&lt;0,$K41,"")</f>
        <v/>
      </c>
      <c r="L14" s="31"/>
      <c r="M14" s="31"/>
      <c r="N14" s="163"/>
    </row>
    <row r="15" spans="1:20">
      <c r="C15" s="162"/>
      <c r="D15" s="31"/>
      <c r="E15" s="31" t="str">
        <f t="shared" si="0"/>
        <v>E. coli loss</v>
      </c>
      <c r="F15" s="31"/>
      <c r="G15" s="31"/>
      <c r="H15" s="163"/>
      <c r="I15" s="162"/>
      <c r="J15" s="31"/>
      <c r="K15" s="31" t="str">
        <f t="shared" si="1"/>
        <v/>
      </c>
      <c r="L15" s="31"/>
      <c r="M15" s="31"/>
      <c r="N15" s="163"/>
    </row>
    <row r="16" spans="1:20">
      <c r="C16" s="162"/>
      <c r="D16" s="31"/>
      <c r="E16" s="31" t="str">
        <f t="shared" si="0"/>
        <v>River water quality</v>
      </c>
      <c r="F16" s="31"/>
      <c r="G16" s="31"/>
      <c r="H16" s="163"/>
      <c r="I16" s="162"/>
      <c r="J16" s="31"/>
      <c r="K16" s="31" t="str">
        <f t="shared" si="1"/>
        <v/>
      </c>
      <c r="L16" s="31"/>
      <c r="M16" s="31"/>
      <c r="N16" s="163"/>
    </row>
    <row r="17" spans="3:20">
      <c r="C17" s="162"/>
      <c r="D17" s="31"/>
      <c r="E17" s="31" t="str">
        <f t="shared" si="0"/>
        <v>Freshwater invertebrates</v>
      </c>
      <c r="F17" s="31"/>
      <c r="G17" s="31"/>
      <c r="H17" s="163"/>
      <c r="I17" s="162"/>
      <c r="J17" s="31"/>
      <c r="K17" s="31" t="str">
        <f t="shared" si="1"/>
        <v/>
      </c>
      <c r="L17" s="31"/>
      <c r="M17" s="31"/>
      <c r="N17" s="163"/>
    </row>
    <row r="18" spans="3:20">
      <c r="C18" s="162"/>
      <c r="D18" s="31"/>
      <c r="E18" s="31" t="str">
        <f t="shared" si="0"/>
        <v>Estuarine health</v>
      </c>
      <c r="F18" s="31"/>
      <c r="G18" s="31"/>
      <c r="H18" s="163"/>
      <c r="I18" s="162"/>
      <c r="J18" s="31"/>
      <c r="K18" s="31" t="str">
        <f t="shared" si="1"/>
        <v/>
      </c>
      <c r="L18" s="31"/>
      <c r="M18" s="31"/>
      <c r="N18" s="163"/>
    </row>
    <row r="19" spans="3:20">
      <c r="C19" s="162"/>
      <c r="D19" s="31"/>
      <c r="E19" s="31" t="str">
        <f t="shared" si="0"/>
        <v>Groundwater quality</v>
      </c>
      <c r="F19" s="31"/>
      <c r="G19" s="31"/>
      <c r="H19" s="163"/>
      <c r="I19" s="162"/>
      <c r="J19" s="31"/>
      <c r="K19" s="31" t="str">
        <f t="shared" si="1"/>
        <v/>
      </c>
      <c r="L19" s="31"/>
      <c r="M19" s="31"/>
      <c r="N19" s="163"/>
    </row>
    <row r="20" spans="3:20">
      <c r="C20" s="162"/>
      <c r="D20" s="31"/>
      <c r="E20" s="31" t="str">
        <f t="shared" si="0"/>
        <v>Pressure on water quantity</v>
      </c>
      <c r="F20" s="31"/>
      <c r="G20" s="31"/>
      <c r="H20" s="163"/>
      <c r="I20" s="162"/>
      <c r="J20" s="31"/>
      <c r="K20" s="31" t="str">
        <f t="shared" si="1"/>
        <v/>
      </c>
      <c r="L20" s="31"/>
      <c r="M20" s="31"/>
      <c r="N20" s="163"/>
    </row>
    <row r="21" spans="3:20">
      <c r="C21" s="162"/>
      <c r="D21" s="31"/>
      <c r="E21" s="31" t="str">
        <f t="shared" si="0"/>
        <v>Soil quality</v>
      </c>
      <c r="F21" s="31"/>
      <c r="G21" s="31"/>
      <c r="H21" s="163"/>
      <c r="I21" s="162"/>
      <c r="J21" s="31"/>
      <c r="K21" s="31" t="str">
        <f t="shared" si="1"/>
        <v/>
      </c>
      <c r="L21" s="31"/>
      <c r="M21" s="31"/>
      <c r="N21" s="163"/>
    </row>
    <row r="22" spans="3:20">
      <c r="C22" s="162"/>
      <c r="D22" s="31"/>
      <c r="E22" s="31" t="str">
        <f t="shared" si="0"/>
        <v>Biodiversity</v>
      </c>
      <c r="F22" s="31"/>
      <c r="G22" s="31"/>
      <c r="H22" s="163"/>
      <c r="I22" s="162"/>
      <c r="J22" s="31"/>
      <c r="K22" s="31" t="str">
        <f t="shared" si="1"/>
        <v/>
      </c>
      <c r="L22" s="31"/>
      <c r="M22" s="31"/>
      <c r="N22" s="163"/>
    </row>
    <row r="23" spans="3:20">
      <c r="C23" s="162"/>
      <c r="D23" s="31"/>
      <c r="E23" s="31" t="str">
        <f t="shared" ref="E23:E28" si="2">IF($R41&gt;=0,$Q41,"")</f>
        <v/>
      </c>
      <c r="F23" s="31"/>
      <c r="G23" s="31"/>
      <c r="H23" s="163"/>
      <c r="I23" s="162"/>
      <c r="J23" s="31"/>
      <c r="K23" s="31" t="str">
        <f t="shared" ref="K23:K28" si="3">IF($R41&lt;0,$Q41,"")</f>
        <v>Connection to nature</v>
      </c>
      <c r="L23" s="31"/>
      <c r="M23" s="31"/>
      <c r="N23" s="163"/>
    </row>
    <row r="24" spans="3:20">
      <c r="C24" s="162"/>
      <c r="D24" s="31"/>
      <c r="E24" s="31" t="str">
        <f t="shared" si="2"/>
        <v/>
      </c>
      <c r="F24" s="31"/>
      <c r="G24" s="31"/>
      <c r="H24" s="163"/>
      <c r="I24" s="162"/>
      <c r="J24" s="31"/>
      <c r="K24" s="31" t="str">
        <f t="shared" si="3"/>
        <v>Access to basic amenities</v>
      </c>
      <c r="L24" s="31"/>
      <c r="M24" s="31"/>
      <c r="N24" s="163"/>
    </row>
    <row r="25" spans="3:20">
      <c r="C25" s="162"/>
      <c r="D25" s="31"/>
      <c r="E25" s="31" t="str">
        <f t="shared" si="2"/>
        <v/>
      </c>
      <c r="F25" s="31"/>
      <c r="G25" s="31"/>
      <c r="H25" s="163"/>
      <c r="I25" s="162"/>
      <c r="J25" s="31"/>
      <c r="K25" s="31" t="str">
        <f t="shared" si="3"/>
        <v>Housing affordability</v>
      </c>
      <c r="L25" s="31"/>
      <c r="M25" s="31"/>
      <c r="N25" s="163"/>
    </row>
    <row r="26" spans="3:20">
      <c r="C26" s="162"/>
      <c r="D26" s="31"/>
      <c r="E26" s="31" t="str">
        <f t="shared" si="2"/>
        <v/>
      </c>
      <c r="F26" s="31"/>
      <c r="G26" s="31"/>
      <c r="H26" s="163"/>
      <c r="I26" s="162"/>
      <c r="J26" s="31"/>
      <c r="K26" s="31" t="str">
        <f t="shared" si="3"/>
        <v>Life satisfaction (current)</v>
      </c>
      <c r="L26" s="31"/>
      <c r="M26" s="31"/>
      <c r="N26" s="163"/>
    </row>
    <row r="27" spans="3:20">
      <c r="C27" s="162"/>
      <c r="D27" s="31"/>
      <c r="E27" s="31" t="str">
        <f t="shared" si="2"/>
        <v/>
      </c>
      <c r="F27" s="31"/>
      <c r="G27" s="31"/>
      <c r="H27" s="163"/>
      <c r="I27" s="162"/>
      <c r="J27" s="31"/>
      <c r="K27" s="31" t="str">
        <f t="shared" si="3"/>
        <v>Life satisfaction (future)</v>
      </c>
      <c r="L27" s="31"/>
      <c r="M27" s="31"/>
      <c r="N27" s="163"/>
    </row>
    <row r="28" spans="3:20">
      <c r="C28" s="162"/>
      <c r="D28" s="31"/>
      <c r="E28" s="31" t="str">
        <f t="shared" si="2"/>
        <v/>
      </c>
      <c r="F28" s="31"/>
      <c r="G28" s="31"/>
      <c r="H28" s="163"/>
      <c r="I28" s="162"/>
      <c r="J28" s="31"/>
      <c r="K28" s="31" t="str">
        <f t="shared" si="3"/>
        <v>Sense of belonging</v>
      </c>
      <c r="L28" s="31"/>
      <c r="M28" s="31"/>
      <c r="N28" s="163"/>
    </row>
    <row r="29" spans="3:20">
      <c r="C29" s="164"/>
      <c r="D29" s="165"/>
      <c r="E29" s="165"/>
      <c r="F29" s="165"/>
      <c r="G29" s="165"/>
      <c r="H29" s="166"/>
      <c r="I29" s="164"/>
      <c r="J29" s="165"/>
      <c r="K29" s="165"/>
      <c r="L29" s="165"/>
      <c r="M29" s="165"/>
      <c r="N29" s="166"/>
    </row>
    <row r="31" spans="3:20" ht="21">
      <c r="C31" s="370" t="s">
        <v>107</v>
      </c>
      <c r="D31" s="370"/>
      <c r="E31" s="370"/>
      <c r="F31" s="370"/>
      <c r="G31" s="370"/>
      <c r="H31" s="370"/>
      <c r="I31" s="370"/>
      <c r="J31" s="370"/>
      <c r="K31" s="370"/>
      <c r="L31" s="370"/>
      <c r="M31" s="370"/>
      <c r="N31" s="370"/>
      <c r="O31" s="370"/>
      <c r="P31" s="370"/>
      <c r="Q31" s="370"/>
      <c r="R31" s="370"/>
      <c r="S31" s="370"/>
      <c r="T31" s="370"/>
    </row>
    <row r="32" spans="3:20">
      <c r="C32" s="69"/>
      <c r="D32" s="69"/>
      <c r="E32" s="69"/>
      <c r="F32" s="69"/>
      <c r="G32" s="69"/>
      <c r="H32" s="69"/>
      <c r="I32" s="68"/>
      <c r="J32" s="68"/>
      <c r="K32" s="68"/>
      <c r="L32" s="68"/>
      <c r="M32" s="68"/>
      <c r="N32" s="68"/>
      <c r="O32" s="70"/>
      <c r="P32" s="70"/>
      <c r="Q32" s="70"/>
      <c r="R32" s="70"/>
      <c r="S32" s="70"/>
      <c r="T32" s="70"/>
    </row>
    <row r="33" spans="3:28" ht="18.75">
      <c r="C33" s="69"/>
      <c r="D33" s="372" t="s">
        <v>108</v>
      </c>
      <c r="E33" s="372"/>
      <c r="F33" s="109" t="s">
        <v>109</v>
      </c>
      <c r="G33" s="109" t="s">
        <v>110</v>
      </c>
      <c r="H33" s="109"/>
      <c r="I33" s="68"/>
      <c r="J33" s="371" t="s">
        <v>111</v>
      </c>
      <c r="K33" s="371"/>
      <c r="L33" s="108" t="s">
        <v>109</v>
      </c>
      <c r="M33" s="108" t="s">
        <v>110</v>
      </c>
      <c r="N33" s="108"/>
      <c r="O33" s="70"/>
      <c r="P33" s="373" t="s">
        <v>112</v>
      </c>
      <c r="Q33" s="373"/>
      <c r="R33" s="110" t="s">
        <v>109</v>
      </c>
      <c r="S33" s="110" t="s">
        <v>110</v>
      </c>
      <c r="T33" s="110"/>
      <c r="V33" s="71"/>
      <c r="W33" s="71"/>
      <c r="X33" s="71"/>
      <c r="Y33" s="71"/>
      <c r="Z33" s="71"/>
      <c r="AA33" s="71"/>
    </row>
    <row r="34" spans="3:28" ht="18.75">
      <c r="C34" s="69"/>
      <c r="D34" s="107" t="s">
        <v>113</v>
      </c>
      <c r="E34" s="95"/>
      <c r="F34" s="97"/>
      <c r="G34" s="97"/>
      <c r="H34" s="97"/>
      <c r="I34" s="68"/>
      <c r="J34" s="106" t="s">
        <v>113</v>
      </c>
      <c r="K34" s="68"/>
      <c r="L34" s="94"/>
      <c r="M34" s="94"/>
      <c r="N34" s="94"/>
      <c r="O34" s="105"/>
      <c r="P34" s="105" t="s">
        <v>113</v>
      </c>
      <c r="Q34" s="96"/>
      <c r="R34" s="96"/>
      <c r="S34" s="96"/>
      <c r="T34" s="96"/>
      <c r="V34" s="71"/>
      <c r="W34" s="71"/>
      <c r="X34" s="71"/>
      <c r="Y34" s="71"/>
      <c r="Z34" s="71"/>
      <c r="AA34" s="71"/>
    </row>
    <row r="35" spans="3:28">
      <c r="C35" s="69"/>
      <c r="D35" s="90"/>
      <c r="E35" s="90" t="s">
        <v>114</v>
      </c>
      <c r="F35" s="99">
        <f>SUM(F36:F38)</f>
        <v>-443100</v>
      </c>
      <c r="G35" s="295">
        <f>Calculation!AF8</f>
        <v>-8.3537117112520755E-4</v>
      </c>
      <c r="H35" s="99"/>
      <c r="I35" s="68"/>
      <c r="J35" s="89"/>
      <c r="K35" s="89" t="s">
        <v>80</v>
      </c>
      <c r="L35" s="255">
        <f>Calculation!AE14</f>
        <v>-11680</v>
      </c>
      <c r="M35" s="297">
        <f>Calculation!AF14</f>
        <v>-1.0621478338822612E-2</v>
      </c>
      <c r="N35" s="114"/>
      <c r="O35" s="70"/>
      <c r="P35" s="93"/>
      <c r="Q35" s="70"/>
      <c r="R35" s="70"/>
      <c r="S35" s="70"/>
      <c r="T35" s="111"/>
      <c r="V35" s="71"/>
      <c r="W35" s="71"/>
      <c r="X35" s="71"/>
      <c r="Y35" s="71"/>
      <c r="Z35" s="71"/>
      <c r="AA35" s="71"/>
      <c r="AB35" s="71"/>
    </row>
    <row r="36" spans="3:28">
      <c r="C36" s="72">
        <v>1</v>
      </c>
      <c r="D36" s="69"/>
      <c r="E36" s="69" t="s">
        <v>115</v>
      </c>
      <c r="F36" s="100">
        <f>Calculation!AE6</f>
        <v>-299800</v>
      </c>
      <c r="G36" s="100"/>
      <c r="H36" s="100"/>
      <c r="I36" s="68"/>
      <c r="J36" s="89"/>
      <c r="K36" s="89" t="s">
        <v>82</v>
      </c>
      <c r="L36" s="255">
        <f>Calculation!AE15</f>
        <v>-1110.0000000000005</v>
      </c>
      <c r="M36" s="297">
        <f>Calculation!AF15</f>
        <v>-1.7759857921136636E-2</v>
      </c>
      <c r="N36" s="114"/>
      <c r="O36" s="70"/>
      <c r="P36" s="70"/>
      <c r="Q36" s="70"/>
      <c r="R36" s="92"/>
      <c r="S36" s="92"/>
      <c r="T36" s="92"/>
      <c r="AB36" s="71"/>
    </row>
    <row r="37" spans="3:28">
      <c r="C37" s="72">
        <v>2</v>
      </c>
      <c r="D37" s="69"/>
      <c r="E37" s="69" t="s">
        <v>116</v>
      </c>
      <c r="F37" s="100">
        <f>Calculation!AE7-Calculation!AE6</f>
        <v>-63600</v>
      </c>
      <c r="G37" s="100"/>
      <c r="H37" s="100"/>
      <c r="I37" s="68"/>
      <c r="J37" s="89"/>
      <c r="K37" s="89" t="s">
        <v>93</v>
      </c>
      <c r="L37" s="254">
        <f>Calculation!AE25</f>
        <v>-9693.6249999999709</v>
      </c>
      <c r="M37" s="297">
        <f>Calculation!AF25</f>
        <v>-0.15901330575705588</v>
      </c>
      <c r="N37" s="113"/>
      <c r="O37" s="70"/>
      <c r="P37" s="70"/>
      <c r="Q37" s="70"/>
      <c r="R37" s="92"/>
      <c r="S37" s="92"/>
      <c r="T37" s="92"/>
    </row>
    <row r="38" spans="3:28">
      <c r="C38" s="72">
        <v>3</v>
      </c>
      <c r="D38" s="69"/>
      <c r="E38" s="69" t="s">
        <v>117</v>
      </c>
      <c r="F38" s="100">
        <f>Calculation!AE8-Calculation!AE7</f>
        <v>-79700</v>
      </c>
      <c r="G38" s="100"/>
      <c r="H38" s="100"/>
      <c r="I38" s="68"/>
      <c r="J38" s="89"/>
      <c r="K38" s="89"/>
      <c r="L38" s="118"/>
      <c r="M38" s="298"/>
      <c r="N38" s="116"/>
      <c r="O38" s="70"/>
      <c r="P38" s="70"/>
      <c r="Q38" s="70"/>
      <c r="R38" s="92"/>
      <c r="S38" s="92"/>
      <c r="T38" s="92"/>
    </row>
    <row r="39" spans="3:28">
      <c r="C39" s="72"/>
      <c r="D39" s="69"/>
      <c r="E39" s="69"/>
      <c r="F39" s="100"/>
      <c r="G39" s="100"/>
      <c r="H39" s="100"/>
      <c r="I39" s="68"/>
      <c r="J39" s="89"/>
      <c r="K39" s="89"/>
      <c r="L39" s="113"/>
      <c r="M39" s="297"/>
      <c r="N39" s="113"/>
      <c r="O39" s="70"/>
      <c r="P39" s="93"/>
      <c r="Q39" s="70"/>
      <c r="R39" s="92"/>
      <c r="S39" s="92"/>
      <c r="T39" s="92"/>
    </row>
    <row r="40" spans="3:28" ht="15.75">
      <c r="C40" s="72">
        <v>4</v>
      </c>
      <c r="D40" s="69"/>
      <c r="E40" s="90" t="s">
        <v>118</v>
      </c>
      <c r="F40" s="256">
        <f>SUM(F41:F43)</f>
        <v>-3.2799999999999994</v>
      </c>
      <c r="G40" s="295">
        <f>Calculation!AF11</f>
        <v>-8.8794566920336656E-4</v>
      </c>
      <c r="H40" s="69"/>
      <c r="I40" s="68"/>
      <c r="J40" s="89" t="s">
        <v>119</v>
      </c>
      <c r="K40" s="68"/>
      <c r="L40" s="73"/>
      <c r="M40" s="299"/>
      <c r="N40" s="73"/>
      <c r="O40" s="105"/>
      <c r="P40" s="105" t="s">
        <v>119</v>
      </c>
      <c r="Q40" s="70"/>
      <c r="R40" s="92"/>
      <c r="S40" s="92"/>
      <c r="T40" s="92"/>
    </row>
    <row r="41" spans="3:28">
      <c r="C41" s="72">
        <v>5</v>
      </c>
      <c r="D41" s="90"/>
      <c r="E41" s="69" t="s">
        <v>115</v>
      </c>
      <c r="F41" s="257">
        <f>Calculation!AE9</f>
        <v>-2.0599999999999996</v>
      </c>
      <c r="G41" s="257"/>
      <c r="H41" s="102"/>
      <c r="I41" s="68"/>
      <c r="J41" s="89"/>
      <c r="K41" s="89" t="s">
        <v>83</v>
      </c>
      <c r="L41" s="119">
        <f>Calculation!AE16</f>
        <v>2500</v>
      </c>
      <c r="M41" s="297">
        <f>Calculation!AF16</f>
        <v>1.2077119655270696E-2</v>
      </c>
      <c r="N41" s="115"/>
      <c r="O41" s="70"/>
      <c r="P41" s="93"/>
      <c r="Q41" s="93" t="s">
        <v>96</v>
      </c>
      <c r="R41" s="301">
        <f>Calculation!AE26</f>
        <v>-400</v>
      </c>
      <c r="S41" s="300">
        <f>Calculation!AF26</f>
        <v>-1.1903521954558305E-3</v>
      </c>
      <c r="T41" s="112"/>
    </row>
    <row r="42" spans="3:28">
      <c r="C42" s="72">
        <v>6</v>
      </c>
      <c r="D42" s="69"/>
      <c r="E42" s="91" t="s">
        <v>116</v>
      </c>
      <c r="F42" s="258">
        <f>Calculation!AE10-Calculation!AE9</f>
        <v>-0.69000000000000039</v>
      </c>
      <c r="G42" s="258"/>
      <c r="H42" s="103"/>
      <c r="I42" s="68"/>
      <c r="J42" s="89"/>
      <c r="K42" s="89" t="s">
        <v>120</v>
      </c>
      <c r="L42" s="116">
        <f>Calculation!AE17</f>
        <v>1600</v>
      </c>
      <c r="M42" s="297">
        <f>Calculation!AF17</f>
        <v>1.1708573603020812E-2</v>
      </c>
      <c r="N42" s="116"/>
      <c r="O42" s="70"/>
      <c r="P42" s="93"/>
      <c r="Q42" s="93" t="s">
        <v>97</v>
      </c>
      <c r="R42" s="301">
        <f>Calculation!AE27</f>
        <v>-800</v>
      </c>
      <c r="S42" s="300">
        <f>Calculation!AF27</f>
        <v>-6.4021511227772528E-3</v>
      </c>
      <c r="T42" s="112"/>
    </row>
    <row r="43" spans="3:28">
      <c r="C43" s="72"/>
      <c r="D43" s="91"/>
      <c r="E43" s="91" t="s">
        <v>117</v>
      </c>
      <c r="F43" s="257">
        <f>Calculation!AE11-Calculation!AE10</f>
        <v>-0.52999999999999936</v>
      </c>
      <c r="G43" s="257"/>
      <c r="H43" s="104"/>
      <c r="I43" s="68"/>
      <c r="J43" s="89"/>
      <c r="K43" s="89" t="s">
        <v>86</v>
      </c>
      <c r="L43" s="116">
        <f>Calculation!AE18</f>
        <v>2200</v>
      </c>
      <c r="M43" s="297">
        <f>Calculation!AF18</f>
        <v>1.1153132509353422E-2</v>
      </c>
      <c r="N43" s="116"/>
      <c r="O43" s="70"/>
      <c r="P43" s="93"/>
      <c r="Q43" s="93" t="s">
        <v>98</v>
      </c>
      <c r="R43" s="301">
        <f>Calculation!AE28</f>
        <v>-1000</v>
      </c>
      <c r="S43" s="300">
        <f>Calculation!AF28</f>
        <v>-8.6694177619031105E-3</v>
      </c>
      <c r="T43" s="112"/>
    </row>
    <row r="44" spans="3:28">
      <c r="C44" s="72">
        <v>1</v>
      </c>
      <c r="D44" s="91"/>
      <c r="E44" s="91"/>
      <c r="F44" s="98"/>
      <c r="G44" s="98"/>
      <c r="H44" s="103"/>
      <c r="I44" s="68"/>
      <c r="J44" s="89"/>
      <c r="K44" s="89" t="s">
        <v>87</v>
      </c>
      <c r="L44" s="116">
        <f>Calculation!AE19</f>
        <v>2000</v>
      </c>
      <c r="M44" s="297">
        <f>Calculation!AF19</f>
        <v>9.4264033557995945E-3</v>
      </c>
      <c r="N44" s="116"/>
      <c r="O44" s="70"/>
      <c r="P44" s="93"/>
      <c r="Q44" s="93" t="s">
        <v>99</v>
      </c>
      <c r="R44" s="301">
        <f>Calculation!AE29</f>
        <v>-400</v>
      </c>
      <c r="S44" s="300">
        <f>Calculation!AF29</f>
        <v>-1.6982325644585398E-3</v>
      </c>
      <c r="T44" s="112"/>
    </row>
    <row r="45" spans="3:28">
      <c r="C45" s="72">
        <v>2</v>
      </c>
      <c r="D45" s="91"/>
      <c r="E45" s="90" t="s">
        <v>75</v>
      </c>
      <c r="F45" s="117">
        <f>Calculation!AE12</f>
        <v>-8808600</v>
      </c>
      <c r="G45" s="296">
        <f>Calculation!AF12</f>
        <v>-1.5551122455615062E-3</v>
      </c>
      <c r="H45" s="98"/>
      <c r="I45" s="68"/>
      <c r="J45" s="89"/>
      <c r="K45" s="89" t="s">
        <v>88</v>
      </c>
      <c r="L45" s="116">
        <f>Calculation!AE20</f>
        <v>2200</v>
      </c>
      <c r="M45" s="297">
        <f>Calculation!AF20</f>
        <v>1.0328541516042103E-2</v>
      </c>
      <c r="N45" s="116"/>
      <c r="O45" s="70"/>
      <c r="P45" s="93"/>
      <c r="Q45" s="93" t="s">
        <v>100</v>
      </c>
      <c r="R45" s="301">
        <f>Calculation!AE30</f>
        <v>-400</v>
      </c>
      <c r="S45" s="300">
        <f>Calculation!AF30</f>
        <v>-1.6982325644585398E-3</v>
      </c>
      <c r="T45" s="112"/>
    </row>
    <row r="46" spans="3:28">
      <c r="C46" s="72">
        <v>3</v>
      </c>
      <c r="D46" s="90"/>
      <c r="E46" s="69"/>
      <c r="F46" s="69"/>
      <c r="G46" s="69"/>
      <c r="H46" s="101"/>
      <c r="I46" s="68"/>
      <c r="J46" s="89"/>
      <c r="K46" s="89" t="s">
        <v>89</v>
      </c>
      <c r="L46" s="116">
        <f>Calculation!AE21</f>
        <v>2000</v>
      </c>
      <c r="M46" s="297">
        <f>Calculation!AF21</f>
        <v>1.1655011655011656E-2</v>
      </c>
      <c r="N46" s="116"/>
      <c r="O46" s="70"/>
      <c r="P46" s="93"/>
      <c r="Q46" s="93" t="s">
        <v>101</v>
      </c>
      <c r="R46" s="301">
        <f>Calculation!AE31</f>
        <v>-2000</v>
      </c>
      <c r="S46" s="300">
        <f>Calculation!AF31</f>
        <v>-6.8435730294786907E-3</v>
      </c>
      <c r="T46" s="112"/>
    </row>
    <row r="47" spans="3:28">
      <c r="C47" s="72">
        <v>4</v>
      </c>
      <c r="D47" s="91"/>
      <c r="E47" s="90" t="s">
        <v>77</v>
      </c>
      <c r="F47" s="117">
        <f>Calculation!AE13</f>
        <v>-110731.59999999996</v>
      </c>
      <c r="G47" s="296">
        <f>Calculation!AF13</f>
        <v>-1.8805873272432284E-3</v>
      </c>
      <c r="H47" s="98"/>
      <c r="I47" s="68"/>
      <c r="J47" s="89"/>
      <c r="K47" s="89" t="s">
        <v>90</v>
      </c>
      <c r="L47" s="116">
        <f>Calculation!AE22</f>
        <v>100</v>
      </c>
      <c r="M47" s="297">
        <f>Calculation!AF22</f>
        <v>2.9833380569519233E-4</v>
      </c>
      <c r="N47" s="116"/>
      <c r="O47" s="70"/>
      <c r="P47" s="93"/>
      <c r="Q47" s="93"/>
      <c r="R47" s="112"/>
      <c r="S47" s="112"/>
      <c r="T47" s="112"/>
    </row>
    <row r="48" spans="3:28">
      <c r="C48" s="72"/>
      <c r="D48" s="91"/>
      <c r="E48" s="69"/>
      <c r="F48" s="98"/>
      <c r="G48" s="98"/>
      <c r="H48" s="98"/>
      <c r="I48" s="68"/>
      <c r="J48" s="89"/>
      <c r="K48" s="89" t="s">
        <v>91</v>
      </c>
      <c r="L48" s="116">
        <f>Calculation!AE23</f>
        <v>700</v>
      </c>
      <c r="M48" s="297">
        <f>Calculation!AF23</f>
        <v>2.5674223446434398E-3</v>
      </c>
      <c r="N48" s="116"/>
      <c r="O48" s="70"/>
      <c r="P48" s="93"/>
      <c r="Q48" s="93"/>
      <c r="R48" s="112"/>
      <c r="S48" s="112"/>
      <c r="T48" s="112"/>
    </row>
    <row r="49" spans="3:20">
      <c r="C49" s="72">
        <v>5</v>
      </c>
      <c r="D49" s="91"/>
      <c r="E49" s="69"/>
      <c r="F49" s="98"/>
      <c r="G49" s="98"/>
      <c r="H49" s="98"/>
      <c r="I49" s="68"/>
      <c r="J49" s="89"/>
      <c r="K49" s="89" t="s">
        <v>92</v>
      </c>
      <c r="L49" s="116">
        <f>Calculation!AE24</f>
        <v>1900</v>
      </c>
      <c r="M49" s="297">
        <f>Calculation!AF24</f>
        <v>1.0848526027897841E-2</v>
      </c>
      <c r="N49" s="116"/>
      <c r="O49" s="70"/>
      <c r="P49" s="70"/>
      <c r="Q49" s="70"/>
      <c r="R49" s="92"/>
      <c r="S49" s="92"/>
      <c r="T49" s="92"/>
    </row>
    <row r="50" spans="3:20">
      <c r="C50" s="72"/>
      <c r="D50" s="91"/>
      <c r="E50" s="69"/>
      <c r="F50" s="98"/>
      <c r="G50" s="98"/>
      <c r="H50" s="98"/>
      <c r="I50" s="68"/>
      <c r="J50" s="89"/>
      <c r="K50" s="89"/>
      <c r="L50" s="116"/>
      <c r="M50" s="116"/>
      <c r="N50" s="116"/>
      <c r="O50" s="70"/>
      <c r="P50" s="70"/>
      <c r="Q50" s="70"/>
      <c r="R50" s="92"/>
      <c r="S50" s="92"/>
      <c r="T50" s="92"/>
    </row>
    <row r="52" spans="3:20">
      <c r="C52" s="182" t="s">
        <v>121</v>
      </c>
      <c r="D52" s="182"/>
      <c r="E52" s="182"/>
      <c r="F52" s="182"/>
      <c r="G52" s="182"/>
      <c r="H52" s="182"/>
      <c r="I52" s="182"/>
      <c r="J52" s="182"/>
      <c r="K52" s="182"/>
      <c r="L52" s="182"/>
      <c r="M52" s="182"/>
      <c r="N52" s="182"/>
      <c r="O52" s="182"/>
      <c r="P52" s="182"/>
      <c r="Q52" s="182"/>
      <c r="R52" s="182"/>
      <c r="S52" s="182"/>
      <c r="T52" s="182"/>
    </row>
    <row r="53" spans="3:20">
      <c r="C53" s="74"/>
      <c r="D53" s="74"/>
      <c r="E53" s="74"/>
      <c r="F53" s="74"/>
      <c r="G53" s="74"/>
      <c r="H53" s="74"/>
      <c r="I53" s="74"/>
      <c r="J53" s="74"/>
      <c r="K53" s="74"/>
      <c r="L53" s="74"/>
      <c r="M53" s="74"/>
      <c r="N53" s="74"/>
      <c r="O53" s="74"/>
      <c r="P53" s="74"/>
      <c r="Q53" s="74"/>
      <c r="R53" s="74"/>
      <c r="S53" s="74"/>
      <c r="T53" s="74"/>
    </row>
  </sheetData>
  <sheetProtection algorithmName="SHA-512" hashValue="bl3ErpZi9ihaUbhi7WW/kTeCRLHr734T8x/JjtxZzmkT2yMfPsXn591awvq1BHCDnj4k2ziZmmVRtcXaPv51ig==" saltValue="bAk9STXkxd0eOcadbGk4zA==" spinCount="100000" sheet="1" objects="1" scenarios="1"/>
  <mergeCells count="6">
    <mergeCell ref="C3:E3"/>
    <mergeCell ref="C31:T31"/>
    <mergeCell ref="J33:K33"/>
    <mergeCell ref="D33:E33"/>
    <mergeCell ref="P33:Q33"/>
    <mergeCell ref="C5:N5"/>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980AA-C253-491A-AC2C-FA1AEAF8352C}">
  <sheetPr codeName="Sheet5">
    <tabColor rgb="FFFF0000"/>
  </sheetPr>
  <dimension ref="A1:AF93"/>
  <sheetViews>
    <sheetView view="pageBreakPreview" zoomScale="120" zoomScaleNormal="110" zoomScaleSheetLayoutView="120" workbookViewId="0">
      <pane xSplit="4" ySplit="5" topLeftCell="E6" activePane="bottomRight" state="frozen"/>
      <selection pane="bottomRight" activeCell="E44" sqref="E44"/>
      <selection pane="bottomLeft" activeCell="A6" sqref="A6"/>
      <selection pane="topRight" activeCell="E1" sqref="E1"/>
    </sheetView>
  </sheetViews>
  <sheetFormatPr defaultRowHeight="15"/>
  <cols>
    <col min="1" max="1" width="8.140625" customWidth="1"/>
    <col min="2" max="2" width="14.7109375" customWidth="1"/>
    <col min="3" max="3" width="44.7109375" bestFit="1" customWidth="1"/>
    <col min="4" max="4" width="11.7109375" customWidth="1"/>
    <col min="5" max="5" width="12.7109375" customWidth="1"/>
    <col min="6" max="6" width="13.85546875" customWidth="1"/>
    <col min="7" max="7" width="13" customWidth="1"/>
    <col min="8" max="8" width="13.7109375" customWidth="1"/>
    <col min="9" max="12" width="11.5703125" customWidth="1"/>
    <col min="13" max="13" width="13.7109375" customWidth="1"/>
    <col min="14" max="14" width="15" customWidth="1"/>
    <col min="15" max="15" width="13.28515625" customWidth="1"/>
    <col min="16" max="16" width="14.42578125" bestFit="1" customWidth="1"/>
    <col min="17" max="17" width="12.42578125" style="23" customWidth="1"/>
    <col min="18" max="18" width="11.5703125" style="23" customWidth="1"/>
    <col min="19" max="20" width="11.5703125" customWidth="1"/>
    <col min="21" max="21" width="16" customWidth="1"/>
    <col min="22" max="22" width="11.5703125" customWidth="1"/>
    <col min="23" max="23" width="13.5703125" customWidth="1"/>
    <col min="24" max="26" width="11.5703125" customWidth="1"/>
    <col min="27" max="29" width="11.5703125" style="19" customWidth="1"/>
    <col min="30" max="30" width="4.28515625" customWidth="1"/>
    <col min="31" max="31" width="16" customWidth="1"/>
  </cols>
  <sheetData>
    <row r="1" spans="1:32" ht="26.25">
      <c r="A1" s="61" t="s">
        <v>122</v>
      </c>
    </row>
    <row r="2" spans="1:32" ht="18.75">
      <c r="A2" s="21" t="s">
        <v>123</v>
      </c>
      <c r="B2" s="375" t="str">
        <f>Inputs!B2</f>
        <v>Waihī Estuary</v>
      </c>
      <c r="C2" s="375"/>
      <c r="D2" s="18"/>
      <c r="E2" s="18"/>
    </row>
    <row r="3" spans="1:32" ht="18.75">
      <c r="A3" s="21" t="s">
        <v>124</v>
      </c>
    </row>
    <row r="4" spans="1:32" s="16" customFormat="1">
      <c r="Q4" s="126"/>
      <c r="R4" s="126"/>
      <c r="AA4" s="20"/>
      <c r="AB4" s="20"/>
      <c r="AC4" s="20"/>
    </row>
    <row r="5" spans="1:32" s="15" customFormat="1" ht="108.75" customHeight="1">
      <c r="B5" s="4" t="s">
        <v>41</v>
      </c>
      <c r="C5" s="4" t="s">
        <v>42</v>
      </c>
      <c r="D5" s="4" t="s">
        <v>43</v>
      </c>
      <c r="E5" s="53" t="s">
        <v>44</v>
      </c>
      <c r="F5" s="53" t="s">
        <v>45</v>
      </c>
      <c r="G5" s="53" t="s">
        <v>46</v>
      </c>
      <c r="H5" s="53" t="s">
        <v>47</v>
      </c>
      <c r="I5" s="53" t="s">
        <v>48</v>
      </c>
      <c r="J5" s="53" t="s">
        <v>49</v>
      </c>
      <c r="K5" s="53" t="s">
        <v>50</v>
      </c>
      <c r="L5" s="53" t="s">
        <v>51</v>
      </c>
      <c r="M5" s="53" t="s">
        <v>52</v>
      </c>
      <c r="N5" s="53" t="s">
        <v>53</v>
      </c>
      <c r="O5" s="53" t="s">
        <v>54</v>
      </c>
      <c r="P5" s="53" t="s">
        <v>55</v>
      </c>
      <c r="Q5" s="128" t="s">
        <v>56</v>
      </c>
      <c r="R5" s="128" t="s">
        <v>57</v>
      </c>
      <c r="S5" s="53" t="s">
        <v>58</v>
      </c>
      <c r="T5" s="53" t="s">
        <v>59</v>
      </c>
      <c r="U5" s="53" t="s">
        <v>60</v>
      </c>
      <c r="V5" s="53" t="s">
        <v>61</v>
      </c>
      <c r="W5" s="53" t="s">
        <v>62</v>
      </c>
      <c r="X5" s="53" t="s">
        <v>63</v>
      </c>
      <c r="Y5" s="53" t="s">
        <v>64</v>
      </c>
      <c r="Z5" s="53" t="s">
        <v>65</v>
      </c>
      <c r="AA5" s="54" t="str">
        <f>Scenario!B36</f>
        <v>Custom Land Use A</v>
      </c>
      <c r="AB5" s="54" t="str">
        <f>Scenario!B37</f>
        <v>Custom Land Use B</v>
      </c>
      <c r="AC5" s="54" t="str">
        <f>Scenario!B38</f>
        <v>Custom Land Use C</v>
      </c>
      <c r="AE5" s="24" t="s">
        <v>125</v>
      </c>
      <c r="AF5" s="24" t="s">
        <v>126</v>
      </c>
    </row>
    <row r="6" spans="1:32">
      <c r="B6" s="379" t="s">
        <v>66</v>
      </c>
      <c r="C6" s="83" t="s">
        <v>67</v>
      </c>
      <c r="D6" s="83" t="s">
        <v>127</v>
      </c>
      <c r="E6" s="87">
        <f t="shared" ref="E6:AC6" si="0">E37-E68</f>
        <v>-128700</v>
      </c>
      <c r="F6" s="87">
        <f t="shared" si="0"/>
        <v>0</v>
      </c>
      <c r="G6" s="87">
        <f t="shared" si="0"/>
        <v>-242100</v>
      </c>
      <c r="H6" s="87">
        <f t="shared" si="0"/>
        <v>0</v>
      </c>
      <c r="I6" s="87">
        <f t="shared" si="0"/>
        <v>0</v>
      </c>
      <c r="J6" s="87">
        <f t="shared" si="0"/>
        <v>0</v>
      </c>
      <c r="K6" s="87">
        <f t="shared" si="0"/>
        <v>0</v>
      </c>
      <c r="L6" s="87">
        <f t="shared" si="0"/>
        <v>0</v>
      </c>
      <c r="M6" s="87">
        <f t="shared" si="0"/>
        <v>0</v>
      </c>
      <c r="N6" s="87">
        <f t="shared" si="0"/>
        <v>0</v>
      </c>
      <c r="O6" s="87">
        <f t="shared" si="0"/>
        <v>0</v>
      </c>
      <c r="P6" s="87">
        <f t="shared" si="0"/>
        <v>71000</v>
      </c>
      <c r="Q6" s="88">
        <f t="shared" si="0"/>
        <v>0</v>
      </c>
      <c r="R6" s="88">
        <f t="shared" si="0"/>
        <v>0</v>
      </c>
      <c r="S6" s="87">
        <f t="shared" si="0"/>
        <v>0</v>
      </c>
      <c r="T6" s="87">
        <f t="shared" si="0"/>
        <v>0</v>
      </c>
      <c r="U6" s="87">
        <f t="shared" si="0"/>
        <v>0</v>
      </c>
      <c r="V6" s="87">
        <f t="shared" si="0"/>
        <v>0</v>
      </c>
      <c r="W6" s="87">
        <f t="shared" si="0"/>
        <v>0</v>
      </c>
      <c r="X6" s="87">
        <f t="shared" si="0"/>
        <v>0</v>
      </c>
      <c r="Y6" s="87">
        <f t="shared" si="0"/>
        <v>0</v>
      </c>
      <c r="Z6" s="87">
        <f t="shared" si="0"/>
        <v>0</v>
      </c>
      <c r="AA6" s="87">
        <f t="shared" si="0"/>
        <v>0</v>
      </c>
      <c r="AB6" s="87">
        <f t="shared" si="0"/>
        <v>0</v>
      </c>
      <c r="AC6" s="87">
        <f t="shared" si="0"/>
        <v>0</v>
      </c>
      <c r="AE6" s="303">
        <f>SUM(E6:AC6)</f>
        <v>-299800</v>
      </c>
      <c r="AF6" s="291"/>
    </row>
    <row r="7" spans="1:32" s="14" customFormat="1">
      <c r="B7" s="377"/>
      <c r="C7" s="23" t="s">
        <v>69</v>
      </c>
      <c r="D7" s="23" t="s">
        <v>127</v>
      </c>
      <c r="E7" s="55">
        <f t="shared" ref="E7:AC7" si="1">E38-E69</f>
        <v>-184200</v>
      </c>
      <c r="F7" s="55">
        <f t="shared" si="1"/>
        <v>0</v>
      </c>
      <c r="G7" s="55">
        <f t="shared" si="1"/>
        <v>-330200</v>
      </c>
      <c r="H7" s="55">
        <f t="shared" si="1"/>
        <v>0</v>
      </c>
      <c r="I7" s="55">
        <f t="shared" si="1"/>
        <v>0</v>
      </c>
      <c r="J7" s="55">
        <f t="shared" si="1"/>
        <v>0</v>
      </c>
      <c r="K7" s="55">
        <f t="shared" si="1"/>
        <v>0</v>
      </c>
      <c r="L7" s="55">
        <f t="shared" si="1"/>
        <v>0</v>
      </c>
      <c r="M7" s="55">
        <f t="shared" si="1"/>
        <v>0</v>
      </c>
      <c r="N7" s="55">
        <f t="shared" si="1"/>
        <v>0</v>
      </c>
      <c r="O7" s="55">
        <f t="shared" si="1"/>
        <v>0</v>
      </c>
      <c r="P7" s="55">
        <f t="shared" si="1"/>
        <v>151000</v>
      </c>
      <c r="Q7" s="129">
        <f t="shared" si="1"/>
        <v>0</v>
      </c>
      <c r="R7" s="129">
        <f t="shared" si="1"/>
        <v>0</v>
      </c>
      <c r="S7" s="55">
        <f t="shared" si="1"/>
        <v>0</v>
      </c>
      <c r="T7" s="55">
        <f t="shared" si="1"/>
        <v>0</v>
      </c>
      <c r="U7" s="55">
        <f t="shared" si="1"/>
        <v>0</v>
      </c>
      <c r="V7" s="55">
        <f t="shared" si="1"/>
        <v>0</v>
      </c>
      <c r="W7" s="55">
        <f t="shared" si="1"/>
        <v>0</v>
      </c>
      <c r="X7" s="55">
        <f t="shared" si="1"/>
        <v>0</v>
      </c>
      <c r="Y7" s="55">
        <f t="shared" si="1"/>
        <v>0</v>
      </c>
      <c r="Z7" s="55">
        <f t="shared" si="1"/>
        <v>0</v>
      </c>
      <c r="AA7" s="55">
        <f t="shared" si="1"/>
        <v>0</v>
      </c>
      <c r="AB7" s="55">
        <f t="shared" si="1"/>
        <v>0</v>
      </c>
      <c r="AC7" s="55">
        <f t="shared" si="1"/>
        <v>0</v>
      </c>
      <c r="AE7" s="303">
        <f t="shared" ref="AE7:AE8" si="2">SUM(E7:AC7)</f>
        <v>-363400</v>
      </c>
      <c r="AF7" s="291"/>
    </row>
    <row r="8" spans="1:32" s="14" customFormat="1">
      <c r="B8" s="377"/>
      <c r="C8" s="139" t="s">
        <v>70</v>
      </c>
      <c r="D8" s="139" t="s">
        <v>127</v>
      </c>
      <c r="E8" s="55">
        <f t="shared" ref="E8:AC8" si="3">E39-E70</f>
        <v>-223500</v>
      </c>
      <c r="F8" s="55">
        <f t="shared" si="3"/>
        <v>0</v>
      </c>
      <c r="G8" s="55">
        <f t="shared" si="3"/>
        <v>-410600</v>
      </c>
      <c r="H8" s="55">
        <f t="shared" si="3"/>
        <v>0</v>
      </c>
      <c r="I8" s="55">
        <f t="shared" si="3"/>
        <v>0</v>
      </c>
      <c r="J8" s="55">
        <f t="shared" si="3"/>
        <v>0</v>
      </c>
      <c r="K8" s="55">
        <f t="shared" si="3"/>
        <v>0</v>
      </c>
      <c r="L8" s="55">
        <f t="shared" si="3"/>
        <v>0</v>
      </c>
      <c r="M8" s="55">
        <f t="shared" si="3"/>
        <v>0</v>
      </c>
      <c r="N8" s="55">
        <f t="shared" si="3"/>
        <v>0</v>
      </c>
      <c r="O8" s="55">
        <f t="shared" si="3"/>
        <v>0</v>
      </c>
      <c r="P8" s="55">
        <f t="shared" si="3"/>
        <v>191000</v>
      </c>
      <c r="Q8" s="129">
        <f t="shared" si="3"/>
        <v>0</v>
      </c>
      <c r="R8" s="129">
        <f t="shared" si="3"/>
        <v>0</v>
      </c>
      <c r="S8" s="55">
        <f t="shared" si="3"/>
        <v>0</v>
      </c>
      <c r="T8" s="55">
        <f t="shared" si="3"/>
        <v>0</v>
      </c>
      <c r="U8" s="55">
        <f t="shared" si="3"/>
        <v>0</v>
      </c>
      <c r="V8" s="55">
        <f t="shared" si="3"/>
        <v>0</v>
      </c>
      <c r="W8" s="55">
        <f t="shared" si="3"/>
        <v>0</v>
      </c>
      <c r="X8" s="55">
        <f t="shared" si="3"/>
        <v>0</v>
      </c>
      <c r="Y8" s="55">
        <f t="shared" si="3"/>
        <v>0</v>
      </c>
      <c r="Z8" s="55">
        <f t="shared" si="3"/>
        <v>0</v>
      </c>
      <c r="AA8" s="55">
        <f t="shared" si="3"/>
        <v>0</v>
      </c>
      <c r="AB8" s="55">
        <f t="shared" si="3"/>
        <v>0</v>
      </c>
      <c r="AC8" s="55">
        <f t="shared" si="3"/>
        <v>0</v>
      </c>
      <c r="AE8" s="25">
        <f t="shared" si="2"/>
        <v>-443100</v>
      </c>
      <c r="AF8" s="291">
        <f>AE8/ABS(AE70)</f>
        <v>-8.3537117112520755E-4</v>
      </c>
    </row>
    <row r="9" spans="1:32">
      <c r="B9" s="377"/>
      <c r="C9" s="23" t="s">
        <v>128</v>
      </c>
      <c r="D9" s="23" t="s">
        <v>129</v>
      </c>
      <c r="E9" s="55">
        <f t="shared" ref="E9:AC9" si="4">E40-E71</f>
        <v>-0.96000000000000008</v>
      </c>
      <c r="F9" s="55">
        <f t="shared" si="4"/>
        <v>0</v>
      </c>
      <c r="G9" s="55">
        <f t="shared" si="4"/>
        <v>-1.1799999999999997</v>
      </c>
      <c r="H9" s="55">
        <f t="shared" si="4"/>
        <v>0</v>
      </c>
      <c r="I9" s="55">
        <f t="shared" si="4"/>
        <v>0</v>
      </c>
      <c r="J9" s="55">
        <f t="shared" si="4"/>
        <v>0</v>
      </c>
      <c r="K9" s="55">
        <f t="shared" si="4"/>
        <v>0</v>
      </c>
      <c r="L9" s="55">
        <f t="shared" si="4"/>
        <v>0</v>
      </c>
      <c r="M9" s="55">
        <f t="shared" si="4"/>
        <v>0</v>
      </c>
      <c r="N9" s="55">
        <f t="shared" si="4"/>
        <v>0</v>
      </c>
      <c r="O9" s="55">
        <f t="shared" si="4"/>
        <v>0</v>
      </c>
      <c r="P9" s="55">
        <f t="shared" si="4"/>
        <v>8.0000000000000071E-2</v>
      </c>
      <c r="Q9" s="129">
        <f t="shared" si="4"/>
        <v>0</v>
      </c>
      <c r="R9" s="129">
        <f t="shared" si="4"/>
        <v>0</v>
      </c>
      <c r="S9" s="55">
        <f t="shared" si="4"/>
        <v>0</v>
      </c>
      <c r="T9" s="55">
        <f t="shared" si="4"/>
        <v>0</v>
      </c>
      <c r="U9" s="55">
        <f t="shared" si="4"/>
        <v>0</v>
      </c>
      <c r="V9" s="55">
        <f t="shared" si="4"/>
        <v>0</v>
      </c>
      <c r="W9" s="55">
        <f t="shared" si="4"/>
        <v>0</v>
      </c>
      <c r="X9" s="55">
        <f t="shared" si="4"/>
        <v>0</v>
      </c>
      <c r="Y9" s="55">
        <f t="shared" si="4"/>
        <v>0</v>
      </c>
      <c r="Z9" s="55">
        <f t="shared" si="4"/>
        <v>0</v>
      </c>
      <c r="AA9" s="55">
        <f t="shared" si="4"/>
        <v>0</v>
      </c>
      <c r="AB9" s="55">
        <f t="shared" si="4"/>
        <v>0</v>
      </c>
      <c r="AC9" s="55">
        <f t="shared" si="4"/>
        <v>0</v>
      </c>
      <c r="AE9" s="302">
        <f t="shared" ref="AE9:AE31" si="5">SUM(E9:AC9)</f>
        <v>-2.0599999999999996</v>
      </c>
      <c r="AF9" s="291"/>
    </row>
    <row r="10" spans="1:32" s="14" customFormat="1">
      <c r="B10" s="377"/>
      <c r="C10" s="23" t="s">
        <v>130</v>
      </c>
      <c r="D10" s="23" t="s">
        <v>129</v>
      </c>
      <c r="E10" s="55">
        <f t="shared" ref="E10:AC10" si="6">E41-E72</f>
        <v>-1.5</v>
      </c>
      <c r="F10" s="55">
        <f t="shared" si="6"/>
        <v>0</v>
      </c>
      <c r="G10" s="55">
        <f t="shared" si="6"/>
        <v>-2.0700000000000003</v>
      </c>
      <c r="H10" s="55">
        <f t="shared" si="6"/>
        <v>0</v>
      </c>
      <c r="I10" s="55">
        <f t="shared" si="6"/>
        <v>0</v>
      </c>
      <c r="J10" s="55">
        <f t="shared" si="6"/>
        <v>0</v>
      </c>
      <c r="K10" s="55">
        <f t="shared" si="6"/>
        <v>0</v>
      </c>
      <c r="L10" s="55">
        <f t="shared" si="6"/>
        <v>0</v>
      </c>
      <c r="M10" s="55">
        <f t="shared" si="6"/>
        <v>0</v>
      </c>
      <c r="N10" s="55">
        <f t="shared" si="6"/>
        <v>0</v>
      </c>
      <c r="O10" s="55">
        <f t="shared" si="6"/>
        <v>0</v>
      </c>
      <c r="P10" s="55">
        <f t="shared" si="6"/>
        <v>0.82000000000000028</v>
      </c>
      <c r="Q10" s="129">
        <f t="shared" si="6"/>
        <v>0</v>
      </c>
      <c r="R10" s="129">
        <f t="shared" si="6"/>
        <v>0</v>
      </c>
      <c r="S10" s="55">
        <f t="shared" si="6"/>
        <v>0</v>
      </c>
      <c r="T10" s="55">
        <f t="shared" si="6"/>
        <v>0</v>
      </c>
      <c r="U10" s="55">
        <f t="shared" si="6"/>
        <v>0</v>
      </c>
      <c r="V10" s="55">
        <f t="shared" si="6"/>
        <v>0</v>
      </c>
      <c r="W10" s="55">
        <f t="shared" si="6"/>
        <v>0</v>
      </c>
      <c r="X10" s="55">
        <f t="shared" si="6"/>
        <v>0</v>
      </c>
      <c r="Y10" s="55">
        <f t="shared" si="6"/>
        <v>0</v>
      </c>
      <c r="Z10" s="55">
        <f t="shared" si="6"/>
        <v>0</v>
      </c>
      <c r="AA10" s="55">
        <f t="shared" si="6"/>
        <v>0</v>
      </c>
      <c r="AB10" s="55">
        <f t="shared" si="6"/>
        <v>0</v>
      </c>
      <c r="AC10" s="55">
        <f t="shared" si="6"/>
        <v>0</v>
      </c>
      <c r="AE10" s="302">
        <f t="shared" si="5"/>
        <v>-2.75</v>
      </c>
      <c r="AF10" s="291"/>
    </row>
    <row r="11" spans="1:32" s="14" customFormat="1">
      <c r="B11" s="377"/>
      <c r="C11" s="139" t="s">
        <v>131</v>
      </c>
      <c r="D11" s="23" t="s">
        <v>129</v>
      </c>
      <c r="E11" s="55">
        <f t="shared" ref="E11:AC11" si="7">E42-E73</f>
        <v>-1.7699999999999998</v>
      </c>
      <c r="F11" s="55">
        <f t="shared" si="7"/>
        <v>0</v>
      </c>
      <c r="G11" s="55">
        <f t="shared" si="7"/>
        <v>-2.6100000000000012</v>
      </c>
      <c r="H11" s="55">
        <f t="shared" si="7"/>
        <v>0</v>
      </c>
      <c r="I11" s="55">
        <f t="shared" si="7"/>
        <v>0</v>
      </c>
      <c r="J11" s="55">
        <f t="shared" si="7"/>
        <v>0</v>
      </c>
      <c r="K11" s="55">
        <f t="shared" si="7"/>
        <v>0</v>
      </c>
      <c r="L11" s="55">
        <f t="shared" si="7"/>
        <v>0</v>
      </c>
      <c r="M11" s="55">
        <f t="shared" si="7"/>
        <v>0</v>
      </c>
      <c r="N11" s="55">
        <f t="shared" si="7"/>
        <v>0</v>
      </c>
      <c r="O11" s="55">
        <f t="shared" si="7"/>
        <v>0</v>
      </c>
      <c r="P11" s="55">
        <f t="shared" si="7"/>
        <v>1.1000000000000014</v>
      </c>
      <c r="Q11" s="129">
        <f t="shared" si="7"/>
        <v>0</v>
      </c>
      <c r="R11" s="129">
        <f t="shared" si="7"/>
        <v>0</v>
      </c>
      <c r="S11" s="55">
        <f t="shared" si="7"/>
        <v>0</v>
      </c>
      <c r="T11" s="55">
        <f t="shared" si="7"/>
        <v>0</v>
      </c>
      <c r="U11" s="55">
        <f t="shared" si="7"/>
        <v>0</v>
      </c>
      <c r="V11" s="55">
        <f t="shared" si="7"/>
        <v>0</v>
      </c>
      <c r="W11" s="55">
        <f t="shared" si="7"/>
        <v>0</v>
      </c>
      <c r="X11" s="55">
        <f t="shared" si="7"/>
        <v>0</v>
      </c>
      <c r="Y11" s="55">
        <f t="shared" si="7"/>
        <v>0</v>
      </c>
      <c r="Z11" s="55">
        <f t="shared" si="7"/>
        <v>0</v>
      </c>
      <c r="AA11" s="55">
        <f t="shared" si="7"/>
        <v>0</v>
      </c>
      <c r="AB11" s="55">
        <f t="shared" si="7"/>
        <v>0</v>
      </c>
      <c r="AC11" s="55">
        <f t="shared" si="7"/>
        <v>0</v>
      </c>
      <c r="AE11" s="294">
        <f t="shared" si="5"/>
        <v>-3.2799999999999994</v>
      </c>
      <c r="AF11" s="291">
        <f t="shared" ref="AF11:AF31" si="8">AE11/ABS(AE73)</f>
        <v>-8.8794566920336656E-4</v>
      </c>
    </row>
    <row r="12" spans="1:32" s="23" customFormat="1">
      <c r="B12" s="377"/>
      <c r="C12" s="139" t="s">
        <v>75</v>
      </c>
      <c r="D12" s="139" t="s">
        <v>127</v>
      </c>
      <c r="E12" s="129">
        <f t="shared" ref="E12:AC12" si="9">E43-E74</f>
        <v>-4894200</v>
      </c>
      <c r="F12" s="129">
        <f t="shared" si="9"/>
        <v>0</v>
      </c>
      <c r="G12" s="129">
        <f t="shared" si="9"/>
        <v>-5252400</v>
      </c>
      <c r="H12" s="129">
        <f t="shared" si="9"/>
        <v>0</v>
      </c>
      <c r="I12" s="129">
        <f t="shared" si="9"/>
        <v>0</v>
      </c>
      <c r="J12" s="129">
        <f t="shared" si="9"/>
        <v>0</v>
      </c>
      <c r="K12" s="129">
        <f t="shared" si="9"/>
        <v>0</v>
      </c>
      <c r="L12" s="129">
        <f t="shared" si="9"/>
        <v>0</v>
      </c>
      <c r="M12" s="129">
        <f t="shared" si="9"/>
        <v>0</v>
      </c>
      <c r="N12" s="129">
        <f t="shared" si="9"/>
        <v>0</v>
      </c>
      <c r="O12" s="129">
        <f t="shared" si="9"/>
        <v>0</v>
      </c>
      <c r="P12" s="129">
        <f t="shared" si="9"/>
        <v>1068600</v>
      </c>
      <c r="Q12" s="129">
        <f t="shared" si="9"/>
        <v>0</v>
      </c>
      <c r="R12" s="129">
        <f t="shared" si="9"/>
        <v>269400</v>
      </c>
      <c r="S12" s="129">
        <f t="shared" si="9"/>
        <v>0</v>
      </c>
      <c r="T12" s="129">
        <f t="shared" si="9"/>
        <v>0</v>
      </c>
      <c r="U12" s="129">
        <f t="shared" si="9"/>
        <v>0</v>
      </c>
      <c r="V12" s="129">
        <f t="shared" si="9"/>
        <v>0</v>
      </c>
      <c r="W12" s="129">
        <f t="shared" si="9"/>
        <v>0</v>
      </c>
      <c r="X12" s="129">
        <f t="shared" si="9"/>
        <v>0</v>
      </c>
      <c r="Y12" s="129">
        <f t="shared" si="9"/>
        <v>0</v>
      </c>
      <c r="Z12" s="129">
        <f t="shared" si="9"/>
        <v>0</v>
      </c>
      <c r="AA12" s="129">
        <f t="shared" si="9"/>
        <v>0</v>
      </c>
      <c r="AB12" s="129">
        <f t="shared" si="9"/>
        <v>0</v>
      </c>
      <c r="AC12" s="129">
        <f t="shared" si="9"/>
        <v>0</v>
      </c>
      <c r="AE12" s="179">
        <f t="shared" si="5"/>
        <v>-8808600</v>
      </c>
      <c r="AF12" s="291">
        <f t="shared" si="8"/>
        <v>-1.5551122455615062E-3</v>
      </c>
    </row>
    <row r="13" spans="1:32" s="23" customFormat="1">
      <c r="B13" s="380"/>
      <c r="C13" s="202" t="s">
        <v>77</v>
      </c>
      <c r="D13" s="202" t="s">
        <v>127</v>
      </c>
      <c r="E13" s="130">
        <f t="shared" ref="E13:AC13" si="10">E44-E75</f>
        <v>-47778.240000000005</v>
      </c>
      <c r="F13" s="130">
        <f t="shared" si="10"/>
        <v>0</v>
      </c>
      <c r="G13" s="130">
        <f t="shared" si="10"/>
        <v>-69280.159999999974</v>
      </c>
      <c r="H13" s="130">
        <f t="shared" si="10"/>
        <v>0</v>
      </c>
      <c r="I13" s="130">
        <f t="shared" si="10"/>
        <v>0</v>
      </c>
      <c r="J13" s="130">
        <f t="shared" si="10"/>
        <v>0</v>
      </c>
      <c r="K13" s="130">
        <f t="shared" si="10"/>
        <v>0</v>
      </c>
      <c r="L13" s="130">
        <f t="shared" si="10"/>
        <v>0</v>
      </c>
      <c r="M13" s="130">
        <f t="shared" si="10"/>
        <v>0</v>
      </c>
      <c r="N13" s="130">
        <f t="shared" si="10"/>
        <v>0</v>
      </c>
      <c r="O13" s="130">
        <f t="shared" si="10"/>
        <v>0</v>
      </c>
      <c r="P13" s="130">
        <f t="shared" si="10"/>
        <v>6326.8000000000175</v>
      </c>
      <c r="Q13" s="130">
        <f t="shared" si="10"/>
        <v>0</v>
      </c>
      <c r="R13" s="130">
        <f t="shared" si="10"/>
        <v>0</v>
      </c>
      <c r="S13" s="130">
        <f t="shared" si="10"/>
        <v>0</v>
      </c>
      <c r="T13" s="130">
        <f t="shared" si="10"/>
        <v>0</v>
      </c>
      <c r="U13" s="130">
        <f t="shared" si="10"/>
        <v>0</v>
      </c>
      <c r="V13" s="130">
        <f t="shared" si="10"/>
        <v>0</v>
      </c>
      <c r="W13" s="130">
        <f t="shared" si="10"/>
        <v>0</v>
      </c>
      <c r="X13" s="130">
        <f t="shared" si="10"/>
        <v>0</v>
      </c>
      <c r="Y13" s="130">
        <f t="shared" si="10"/>
        <v>0</v>
      </c>
      <c r="Z13" s="130">
        <f t="shared" si="10"/>
        <v>0</v>
      </c>
      <c r="AA13" s="130">
        <f t="shared" si="10"/>
        <v>0</v>
      </c>
      <c r="AB13" s="130">
        <f t="shared" si="10"/>
        <v>0</v>
      </c>
      <c r="AC13" s="130">
        <f t="shared" si="10"/>
        <v>0</v>
      </c>
      <c r="AD13" s="127"/>
      <c r="AE13" s="311">
        <f>SUM(E13:AC13)</f>
        <v>-110731.59999999996</v>
      </c>
      <c r="AF13" s="312">
        <f t="shared" si="8"/>
        <v>-1.8805873272432284E-3</v>
      </c>
    </row>
    <row r="14" spans="1:32" ht="15" customHeight="1">
      <c r="B14" s="376" t="s">
        <v>79</v>
      </c>
      <c r="C14" s="17" t="s">
        <v>80</v>
      </c>
      <c r="D14" s="17" t="s">
        <v>132</v>
      </c>
      <c r="E14" s="55">
        <f t="shared" ref="E14:AC14" si="11">E45-E76</f>
        <v>-7200</v>
      </c>
      <c r="F14" s="55">
        <f t="shared" si="11"/>
        <v>0</v>
      </c>
      <c r="G14" s="55">
        <f t="shared" si="11"/>
        <v>-6100</v>
      </c>
      <c r="H14" s="55">
        <f t="shared" si="11"/>
        <v>0</v>
      </c>
      <c r="I14" s="55">
        <f t="shared" si="11"/>
        <v>0</v>
      </c>
      <c r="J14" s="55">
        <f t="shared" si="11"/>
        <v>0</v>
      </c>
      <c r="K14" s="55">
        <f t="shared" si="11"/>
        <v>0</v>
      </c>
      <c r="L14" s="55">
        <f t="shared" si="11"/>
        <v>0</v>
      </c>
      <c r="M14" s="55">
        <f t="shared" si="11"/>
        <v>0</v>
      </c>
      <c r="N14" s="55">
        <f t="shared" si="11"/>
        <v>0</v>
      </c>
      <c r="O14" s="55">
        <f t="shared" si="11"/>
        <v>0</v>
      </c>
      <c r="P14" s="55">
        <f t="shared" si="11"/>
        <v>820</v>
      </c>
      <c r="Q14" s="129">
        <f t="shared" si="11"/>
        <v>0</v>
      </c>
      <c r="R14" s="129">
        <f t="shared" si="11"/>
        <v>800</v>
      </c>
      <c r="S14" s="55">
        <f t="shared" si="11"/>
        <v>0</v>
      </c>
      <c r="T14" s="55">
        <f t="shared" si="11"/>
        <v>0</v>
      </c>
      <c r="U14" s="55">
        <f t="shared" si="11"/>
        <v>0</v>
      </c>
      <c r="V14" s="55">
        <f t="shared" si="11"/>
        <v>0</v>
      </c>
      <c r="W14" s="55">
        <f t="shared" si="11"/>
        <v>0</v>
      </c>
      <c r="X14" s="55">
        <f t="shared" si="11"/>
        <v>0</v>
      </c>
      <c r="Y14" s="55">
        <f t="shared" si="11"/>
        <v>0</v>
      </c>
      <c r="Z14" s="55">
        <f t="shared" si="11"/>
        <v>0</v>
      </c>
      <c r="AA14" s="55">
        <f t="shared" si="11"/>
        <v>0</v>
      </c>
      <c r="AB14" s="55">
        <f t="shared" si="11"/>
        <v>0</v>
      </c>
      <c r="AC14" s="55">
        <f t="shared" si="11"/>
        <v>0</v>
      </c>
      <c r="AE14" s="26">
        <f t="shared" si="5"/>
        <v>-11680</v>
      </c>
      <c r="AF14" s="292">
        <f t="shared" si="8"/>
        <v>-1.0621478338822612E-2</v>
      </c>
    </row>
    <row r="15" spans="1:32">
      <c r="B15" s="376"/>
      <c r="C15" s="17" t="s">
        <v>82</v>
      </c>
      <c r="D15" s="17" t="s">
        <v>132</v>
      </c>
      <c r="E15" s="55">
        <f t="shared" ref="E15:AC15" si="12">E46-E77</f>
        <v>-810.00000000000011</v>
      </c>
      <c r="F15" s="55">
        <f t="shared" si="12"/>
        <v>0</v>
      </c>
      <c r="G15" s="55">
        <f t="shared" si="12"/>
        <v>-340.00000000000023</v>
      </c>
      <c r="H15" s="55">
        <f t="shared" si="12"/>
        <v>0</v>
      </c>
      <c r="I15" s="55">
        <f t="shared" si="12"/>
        <v>0</v>
      </c>
      <c r="J15" s="55">
        <f t="shared" si="12"/>
        <v>0</v>
      </c>
      <c r="K15" s="55">
        <f t="shared" si="12"/>
        <v>0</v>
      </c>
      <c r="L15" s="55">
        <f t="shared" si="12"/>
        <v>0</v>
      </c>
      <c r="M15" s="55">
        <f t="shared" si="12"/>
        <v>0</v>
      </c>
      <c r="N15" s="55">
        <f t="shared" si="12"/>
        <v>0</v>
      </c>
      <c r="O15" s="55">
        <f t="shared" si="12"/>
        <v>0</v>
      </c>
      <c r="P15" s="55">
        <f t="shared" si="12"/>
        <v>20</v>
      </c>
      <c r="Q15" s="129">
        <f t="shared" si="12"/>
        <v>0</v>
      </c>
      <c r="R15" s="129">
        <f t="shared" si="12"/>
        <v>20.000000000000004</v>
      </c>
      <c r="S15" s="55">
        <f t="shared" si="12"/>
        <v>0</v>
      </c>
      <c r="T15" s="55">
        <f t="shared" si="12"/>
        <v>0</v>
      </c>
      <c r="U15" s="55">
        <f t="shared" si="12"/>
        <v>0</v>
      </c>
      <c r="V15" s="55">
        <f t="shared" si="12"/>
        <v>0</v>
      </c>
      <c r="W15" s="55">
        <f t="shared" si="12"/>
        <v>0</v>
      </c>
      <c r="X15" s="55">
        <f t="shared" si="12"/>
        <v>0</v>
      </c>
      <c r="Y15" s="55">
        <f t="shared" si="12"/>
        <v>0</v>
      </c>
      <c r="Z15" s="55">
        <f t="shared" si="12"/>
        <v>0</v>
      </c>
      <c r="AA15" s="55">
        <f t="shared" si="12"/>
        <v>0</v>
      </c>
      <c r="AB15" s="55">
        <f t="shared" si="12"/>
        <v>0</v>
      </c>
      <c r="AC15" s="55">
        <f t="shared" si="12"/>
        <v>0</v>
      </c>
      <c r="AE15" s="26">
        <f>SUM(E15:AC15)</f>
        <v>-1110.0000000000005</v>
      </c>
      <c r="AF15" s="292">
        <f t="shared" si="8"/>
        <v>-1.7759857921136636E-2</v>
      </c>
    </row>
    <row r="16" spans="1:32" s="23" customFormat="1">
      <c r="B16" s="376"/>
      <c r="C16" s="139" t="s">
        <v>83</v>
      </c>
      <c r="D16" s="139" t="s">
        <v>84</v>
      </c>
      <c r="E16" s="129">
        <f t="shared" ref="E16:AC16" si="13">E47-E78</f>
        <v>-900</v>
      </c>
      <c r="F16" s="129">
        <f t="shared" si="13"/>
        <v>0</v>
      </c>
      <c r="G16" s="129">
        <f t="shared" si="13"/>
        <v>-200</v>
      </c>
      <c r="H16" s="129">
        <f t="shared" si="13"/>
        <v>0</v>
      </c>
      <c r="I16" s="129">
        <f t="shared" si="13"/>
        <v>0</v>
      </c>
      <c r="J16" s="129">
        <f t="shared" si="13"/>
        <v>0</v>
      </c>
      <c r="K16" s="129">
        <f t="shared" si="13"/>
        <v>0</v>
      </c>
      <c r="L16" s="129">
        <f t="shared" si="13"/>
        <v>0</v>
      </c>
      <c r="M16" s="129">
        <f t="shared" si="13"/>
        <v>0</v>
      </c>
      <c r="N16" s="129">
        <f t="shared" si="13"/>
        <v>0</v>
      </c>
      <c r="O16" s="129">
        <f t="shared" si="13"/>
        <v>0</v>
      </c>
      <c r="P16" s="129">
        <f t="shared" si="13"/>
        <v>1600</v>
      </c>
      <c r="Q16" s="129">
        <f t="shared" si="13"/>
        <v>0</v>
      </c>
      <c r="R16" s="129">
        <f t="shared" si="13"/>
        <v>2000</v>
      </c>
      <c r="S16" s="129">
        <f t="shared" si="13"/>
        <v>0</v>
      </c>
      <c r="T16" s="129">
        <f t="shared" si="13"/>
        <v>0</v>
      </c>
      <c r="U16" s="129">
        <f t="shared" si="13"/>
        <v>0</v>
      </c>
      <c r="V16" s="129">
        <f t="shared" si="13"/>
        <v>0</v>
      </c>
      <c r="W16" s="129">
        <f t="shared" si="13"/>
        <v>0</v>
      </c>
      <c r="X16" s="129">
        <f t="shared" si="13"/>
        <v>0</v>
      </c>
      <c r="Y16" s="129">
        <f t="shared" si="13"/>
        <v>0</v>
      </c>
      <c r="Z16" s="129">
        <f t="shared" si="13"/>
        <v>0</v>
      </c>
      <c r="AA16" s="129">
        <f t="shared" si="13"/>
        <v>0</v>
      </c>
      <c r="AB16" s="129">
        <f t="shared" si="13"/>
        <v>0</v>
      </c>
      <c r="AC16" s="129">
        <f t="shared" si="13"/>
        <v>0</v>
      </c>
      <c r="AE16" s="134">
        <f>SUM(E16:AC16)</f>
        <v>2500</v>
      </c>
      <c r="AF16" s="292">
        <f t="shared" si="8"/>
        <v>1.2077119655270696E-2</v>
      </c>
    </row>
    <row r="17" spans="2:32">
      <c r="B17" s="376"/>
      <c r="C17" s="17" t="s">
        <v>85</v>
      </c>
      <c r="D17" s="17" t="s">
        <v>84</v>
      </c>
      <c r="E17" s="55">
        <f t="shared" ref="E17:AC17" si="14">E48-E79</f>
        <v>-600</v>
      </c>
      <c r="F17" s="55">
        <f t="shared" si="14"/>
        <v>0</v>
      </c>
      <c r="G17" s="55">
        <f t="shared" si="14"/>
        <v>-200</v>
      </c>
      <c r="H17" s="55">
        <f t="shared" si="14"/>
        <v>0</v>
      </c>
      <c r="I17" s="55">
        <f t="shared" si="14"/>
        <v>0</v>
      </c>
      <c r="J17" s="55">
        <f t="shared" si="14"/>
        <v>0</v>
      </c>
      <c r="K17" s="55">
        <f t="shared" si="14"/>
        <v>0</v>
      </c>
      <c r="L17" s="55">
        <f t="shared" si="14"/>
        <v>0</v>
      </c>
      <c r="M17" s="55">
        <f t="shared" si="14"/>
        <v>0</v>
      </c>
      <c r="N17" s="55">
        <f t="shared" si="14"/>
        <v>0</v>
      </c>
      <c r="O17" s="55">
        <f t="shared" si="14"/>
        <v>0</v>
      </c>
      <c r="P17" s="55">
        <f t="shared" si="14"/>
        <v>800</v>
      </c>
      <c r="Q17" s="129">
        <f t="shared" si="14"/>
        <v>0</v>
      </c>
      <c r="R17" s="129">
        <f t="shared" si="14"/>
        <v>1600</v>
      </c>
      <c r="S17" s="55">
        <f t="shared" si="14"/>
        <v>0</v>
      </c>
      <c r="T17" s="55">
        <f t="shared" si="14"/>
        <v>0</v>
      </c>
      <c r="U17" s="55">
        <f t="shared" si="14"/>
        <v>0</v>
      </c>
      <c r="V17" s="55">
        <f t="shared" si="14"/>
        <v>0</v>
      </c>
      <c r="W17" s="55">
        <f t="shared" si="14"/>
        <v>0</v>
      </c>
      <c r="X17" s="55">
        <f t="shared" si="14"/>
        <v>0</v>
      </c>
      <c r="Y17" s="55">
        <f t="shared" si="14"/>
        <v>0</v>
      </c>
      <c r="Z17" s="55">
        <f t="shared" si="14"/>
        <v>0</v>
      </c>
      <c r="AA17" s="55">
        <f t="shared" si="14"/>
        <v>0</v>
      </c>
      <c r="AB17" s="55">
        <f t="shared" si="14"/>
        <v>0</v>
      </c>
      <c r="AC17" s="55">
        <f t="shared" si="14"/>
        <v>0</v>
      </c>
      <c r="AE17" s="26">
        <f>SUM(E17:AC17)</f>
        <v>1600</v>
      </c>
      <c r="AF17" s="292">
        <f t="shared" si="8"/>
        <v>1.1708573603020812E-2</v>
      </c>
    </row>
    <row r="18" spans="2:32">
      <c r="B18" s="376"/>
      <c r="C18" s="17" t="s">
        <v>86</v>
      </c>
      <c r="D18" s="17" t="s">
        <v>84</v>
      </c>
      <c r="E18" s="55">
        <f t="shared" ref="E18:AC18" si="15">E49-E80</f>
        <v>-1200</v>
      </c>
      <c r="F18" s="55">
        <f t="shared" si="15"/>
        <v>0</v>
      </c>
      <c r="G18" s="55">
        <f t="shared" si="15"/>
        <v>-200</v>
      </c>
      <c r="H18" s="55">
        <f t="shared" si="15"/>
        <v>0</v>
      </c>
      <c r="I18" s="55">
        <f t="shared" si="15"/>
        <v>0</v>
      </c>
      <c r="J18" s="55">
        <f t="shared" si="15"/>
        <v>0</v>
      </c>
      <c r="K18" s="55">
        <f t="shared" si="15"/>
        <v>0</v>
      </c>
      <c r="L18" s="55">
        <f t="shared" si="15"/>
        <v>0</v>
      </c>
      <c r="M18" s="55">
        <f t="shared" si="15"/>
        <v>0</v>
      </c>
      <c r="N18" s="55">
        <f t="shared" si="15"/>
        <v>0</v>
      </c>
      <c r="O18" s="55">
        <f t="shared" si="15"/>
        <v>0</v>
      </c>
      <c r="P18" s="55">
        <f t="shared" si="15"/>
        <v>1600</v>
      </c>
      <c r="Q18" s="129">
        <f t="shared" si="15"/>
        <v>0</v>
      </c>
      <c r="R18" s="129">
        <f t="shared" si="15"/>
        <v>2000</v>
      </c>
      <c r="S18" s="55">
        <f t="shared" si="15"/>
        <v>0</v>
      </c>
      <c r="T18" s="55">
        <f t="shared" si="15"/>
        <v>0</v>
      </c>
      <c r="U18" s="55">
        <f t="shared" si="15"/>
        <v>0</v>
      </c>
      <c r="V18" s="55">
        <f t="shared" si="15"/>
        <v>0</v>
      </c>
      <c r="W18" s="55">
        <f t="shared" si="15"/>
        <v>0</v>
      </c>
      <c r="X18" s="55">
        <f t="shared" si="15"/>
        <v>0</v>
      </c>
      <c r="Y18" s="55">
        <f t="shared" si="15"/>
        <v>0</v>
      </c>
      <c r="Z18" s="55">
        <f t="shared" si="15"/>
        <v>0</v>
      </c>
      <c r="AA18" s="55">
        <f t="shared" si="15"/>
        <v>0</v>
      </c>
      <c r="AB18" s="55">
        <f t="shared" si="15"/>
        <v>0</v>
      </c>
      <c r="AC18" s="55">
        <f t="shared" si="15"/>
        <v>0</v>
      </c>
      <c r="AE18" s="26">
        <f t="shared" si="5"/>
        <v>2200</v>
      </c>
      <c r="AF18" s="292">
        <f t="shared" si="8"/>
        <v>1.1153132509353422E-2</v>
      </c>
    </row>
    <row r="19" spans="2:32">
      <c r="B19" s="376"/>
      <c r="C19" s="17" t="s">
        <v>87</v>
      </c>
      <c r="D19" s="17" t="s">
        <v>84</v>
      </c>
      <c r="E19" s="55">
        <f t="shared" ref="E19:AC19" si="16">E50-E81</f>
        <v>-1200</v>
      </c>
      <c r="F19" s="55">
        <f t="shared" si="16"/>
        <v>0</v>
      </c>
      <c r="G19" s="55">
        <f t="shared" si="16"/>
        <v>-400</v>
      </c>
      <c r="H19" s="55">
        <f t="shared" si="16"/>
        <v>0</v>
      </c>
      <c r="I19" s="55">
        <f t="shared" si="16"/>
        <v>0</v>
      </c>
      <c r="J19" s="55">
        <f t="shared" si="16"/>
        <v>0</v>
      </c>
      <c r="K19" s="55">
        <f t="shared" si="16"/>
        <v>0</v>
      </c>
      <c r="L19" s="55">
        <f t="shared" si="16"/>
        <v>0</v>
      </c>
      <c r="M19" s="55">
        <f t="shared" si="16"/>
        <v>0</v>
      </c>
      <c r="N19" s="55">
        <f t="shared" si="16"/>
        <v>0</v>
      </c>
      <c r="O19" s="55">
        <f t="shared" si="16"/>
        <v>0</v>
      </c>
      <c r="P19" s="55">
        <f t="shared" si="16"/>
        <v>1600</v>
      </c>
      <c r="Q19" s="129">
        <f t="shared" si="16"/>
        <v>0</v>
      </c>
      <c r="R19" s="129">
        <f t="shared" si="16"/>
        <v>2000</v>
      </c>
      <c r="S19" s="55">
        <f t="shared" si="16"/>
        <v>0</v>
      </c>
      <c r="T19" s="55">
        <f t="shared" si="16"/>
        <v>0</v>
      </c>
      <c r="U19" s="55">
        <f t="shared" si="16"/>
        <v>0</v>
      </c>
      <c r="V19" s="55">
        <f t="shared" si="16"/>
        <v>0</v>
      </c>
      <c r="W19" s="55">
        <f t="shared" si="16"/>
        <v>0</v>
      </c>
      <c r="X19" s="55">
        <f t="shared" si="16"/>
        <v>0</v>
      </c>
      <c r="Y19" s="55">
        <f t="shared" si="16"/>
        <v>0</v>
      </c>
      <c r="Z19" s="55">
        <f t="shared" si="16"/>
        <v>0</v>
      </c>
      <c r="AA19" s="55">
        <f t="shared" si="16"/>
        <v>0</v>
      </c>
      <c r="AB19" s="55">
        <f t="shared" si="16"/>
        <v>0</v>
      </c>
      <c r="AC19" s="55">
        <f t="shared" si="16"/>
        <v>0</v>
      </c>
      <c r="AE19" s="26">
        <f t="shared" si="5"/>
        <v>2000</v>
      </c>
      <c r="AF19" s="292">
        <f t="shared" si="8"/>
        <v>9.4264033557995945E-3</v>
      </c>
    </row>
    <row r="20" spans="2:32">
      <c r="B20" s="376"/>
      <c r="C20" s="17" t="s">
        <v>88</v>
      </c>
      <c r="D20" s="17" t="s">
        <v>84</v>
      </c>
      <c r="E20" s="55">
        <f t="shared" ref="E20:AC20" si="17">E51-E82</f>
        <v>-1200</v>
      </c>
      <c r="F20" s="55">
        <f t="shared" si="17"/>
        <v>0</v>
      </c>
      <c r="G20" s="55">
        <f t="shared" si="17"/>
        <v>-200</v>
      </c>
      <c r="H20" s="55">
        <f t="shared" si="17"/>
        <v>0</v>
      </c>
      <c r="I20" s="55">
        <f t="shared" si="17"/>
        <v>0</v>
      </c>
      <c r="J20" s="55">
        <f t="shared" si="17"/>
        <v>0</v>
      </c>
      <c r="K20" s="55">
        <f t="shared" si="17"/>
        <v>0</v>
      </c>
      <c r="L20" s="55">
        <f t="shared" si="17"/>
        <v>0</v>
      </c>
      <c r="M20" s="55">
        <f t="shared" si="17"/>
        <v>0</v>
      </c>
      <c r="N20" s="55">
        <f t="shared" si="17"/>
        <v>0</v>
      </c>
      <c r="O20" s="55">
        <f t="shared" si="17"/>
        <v>0</v>
      </c>
      <c r="P20" s="55">
        <f t="shared" si="17"/>
        <v>1600</v>
      </c>
      <c r="Q20" s="129">
        <f t="shared" si="17"/>
        <v>0</v>
      </c>
      <c r="R20" s="129">
        <f t="shared" si="17"/>
        <v>2000</v>
      </c>
      <c r="S20" s="55">
        <f t="shared" si="17"/>
        <v>0</v>
      </c>
      <c r="T20" s="55">
        <f t="shared" si="17"/>
        <v>0</v>
      </c>
      <c r="U20" s="55">
        <f t="shared" si="17"/>
        <v>0</v>
      </c>
      <c r="V20" s="55">
        <f t="shared" si="17"/>
        <v>0</v>
      </c>
      <c r="W20" s="55">
        <f t="shared" si="17"/>
        <v>0</v>
      </c>
      <c r="X20" s="55">
        <f t="shared" si="17"/>
        <v>0</v>
      </c>
      <c r="Y20" s="55">
        <f t="shared" si="17"/>
        <v>0</v>
      </c>
      <c r="Z20" s="55">
        <f t="shared" si="17"/>
        <v>0</v>
      </c>
      <c r="AA20" s="55">
        <f t="shared" si="17"/>
        <v>0</v>
      </c>
      <c r="AB20" s="55">
        <f t="shared" si="17"/>
        <v>0</v>
      </c>
      <c r="AC20" s="55">
        <f t="shared" si="17"/>
        <v>0</v>
      </c>
      <c r="AE20" s="26">
        <f t="shared" si="5"/>
        <v>2200</v>
      </c>
      <c r="AF20" s="292">
        <f t="shared" si="8"/>
        <v>1.0328541516042103E-2</v>
      </c>
    </row>
    <row r="21" spans="2:32">
      <c r="B21" s="376"/>
      <c r="C21" s="17" t="s">
        <v>89</v>
      </c>
      <c r="D21" s="17" t="s">
        <v>84</v>
      </c>
      <c r="E21" s="55">
        <f t="shared" ref="E21:AC21" si="18">E52-E83</f>
        <v>-1200</v>
      </c>
      <c r="F21" s="55">
        <f t="shared" si="18"/>
        <v>0</v>
      </c>
      <c r="G21" s="55">
        <f t="shared" si="18"/>
        <v>-400</v>
      </c>
      <c r="H21" s="55">
        <f t="shared" si="18"/>
        <v>0</v>
      </c>
      <c r="I21" s="55">
        <f t="shared" si="18"/>
        <v>0</v>
      </c>
      <c r="J21" s="55">
        <f t="shared" si="18"/>
        <v>0</v>
      </c>
      <c r="K21" s="55">
        <f t="shared" si="18"/>
        <v>0</v>
      </c>
      <c r="L21" s="55">
        <f t="shared" si="18"/>
        <v>0</v>
      </c>
      <c r="M21" s="55">
        <f t="shared" si="18"/>
        <v>0</v>
      </c>
      <c r="N21" s="55">
        <f t="shared" si="18"/>
        <v>0</v>
      </c>
      <c r="O21" s="55">
        <f t="shared" si="18"/>
        <v>0</v>
      </c>
      <c r="P21" s="55">
        <f t="shared" si="18"/>
        <v>1600</v>
      </c>
      <c r="Q21" s="129">
        <f t="shared" si="18"/>
        <v>0</v>
      </c>
      <c r="R21" s="129">
        <f t="shared" si="18"/>
        <v>2000</v>
      </c>
      <c r="S21" s="55">
        <f t="shared" si="18"/>
        <v>0</v>
      </c>
      <c r="T21" s="55">
        <f t="shared" si="18"/>
        <v>0</v>
      </c>
      <c r="U21" s="55">
        <f t="shared" si="18"/>
        <v>0</v>
      </c>
      <c r="V21" s="55">
        <f t="shared" si="18"/>
        <v>0</v>
      </c>
      <c r="W21" s="55">
        <f t="shared" si="18"/>
        <v>0</v>
      </c>
      <c r="X21" s="55">
        <f t="shared" si="18"/>
        <v>0</v>
      </c>
      <c r="Y21" s="55">
        <f t="shared" si="18"/>
        <v>0</v>
      </c>
      <c r="Z21" s="55">
        <f t="shared" si="18"/>
        <v>0</v>
      </c>
      <c r="AA21" s="55">
        <f t="shared" si="18"/>
        <v>0</v>
      </c>
      <c r="AB21" s="55">
        <f t="shared" si="18"/>
        <v>0</v>
      </c>
      <c r="AC21" s="55">
        <f t="shared" si="18"/>
        <v>0</v>
      </c>
      <c r="AE21" s="26">
        <f t="shared" si="5"/>
        <v>2000</v>
      </c>
      <c r="AF21" s="292">
        <f t="shared" si="8"/>
        <v>1.1655011655011656E-2</v>
      </c>
    </row>
    <row r="22" spans="2:32">
      <c r="B22" s="376"/>
      <c r="C22" s="17" t="s">
        <v>90</v>
      </c>
      <c r="D22" s="17" t="s">
        <v>84</v>
      </c>
      <c r="E22" s="55">
        <f t="shared" ref="E22:AC22" si="19">E53-E84</f>
        <v>-3000</v>
      </c>
      <c r="F22" s="55">
        <f t="shared" si="19"/>
        <v>0</v>
      </c>
      <c r="G22" s="55">
        <f t="shared" si="19"/>
        <v>-900</v>
      </c>
      <c r="H22" s="55">
        <f t="shared" si="19"/>
        <v>0</v>
      </c>
      <c r="I22" s="55">
        <f t="shared" si="19"/>
        <v>0</v>
      </c>
      <c r="J22" s="55">
        <f t="shared" si="19"/>
        <v>0</v>
      </c>
      <c r="K22" s="55">
        <f t="shared" si="19"/>
        <v>0</v>
      </c>
      <c r="L22" s="55">
        <f t="shared" si="19"/>
        <v>0</v>
      </c>
      <c r="M22" s="55">
        <f t="shared" si="19"/>
        <v>0</v>
      </c>
      <c r="N22" s="55">
        <f t="shared" si="19"/>
        <v>0</v>
      </c>
      <c r="O22" s="55">
        <f t="shared" si="19"/>
        <v>0</v>
      </c>
      <c r="P22" s="55">
        <f t="shared" si="19"/>
        <v>2000</v>
      </c>
      <c r="Q22" s="55">
        <f t="shared" si="19"/>
        <v>0</v>
      </c>
      <c r="R22" s="55">
        <f t="shared" si="19"/>
        <v>2000</v>
      </c>
      <c r="S22" s="55">
        <f t="shared" si="19"/>
        <v>0</v>
      </c>
      <c r="T22" s="55">
        <f t="shared" si="19"/>
        <v>0</v>
      </c>
      <c r="U22" s="55">
        <f t="shared" si="19"/>
        <v>0</v>
      </c>
      <c r="V22" s="55">
        <f t="shared" si="19"/>
        <v>0</v>
      </c>
      <c r="W22" s="55">
        <f t="shared" si="19"/>
        <v>0</v>
      </c>
      <c r="X22" s="55">
        <f t="shared" si="19"/>
        <v>0</v>
      </c>
      <c r="Y22" s="55">
        <f t="shared" si="19"/>
        <v>0</v>
      </c>
      <c r="Z22" s="55">
        <f t="shared" si="19"/>
        <v>0</v>
      </c>
      <c r="AA22" s="55">
        <f t="shared" si="19"/>
        <v>0</v>
      </c>
      <c r="AB22" s="55">
        <f t="shared" si="19"/>
        <v>0</v>
      </c>
      <c r="AC22" s="55">
        <f t="shared" si="19"/>
        <v>0</v>
      </c>
      <c r="AE22" s="26">
        <f>SUM(E22:AC22)</f>
        <v>100</v>
      </c>
      <c r="AF22" s="292">
        <f t="shared" si="8"/>
        <v>2.9833380569519233E-4</v>
      </c>
    </row>
    <row r="23" spans="2:32">
      <c r="B23" s="376"/>
      <c r="C23" s="17" t="s">
        <v>91</v>
      </c>
      <c r="D23" s="17" t="s">
        <v>84</v>
      </c>
      <c r="E23" s="55">
        <f t="shared" ref="E23:AC23" si="20">E54-E85</f>
        <v>-2400</v>
      </c>
      <c r="F23" s="55">
        <f t="shared" si="20"/>
        <v>0</v>
      </c>
      <c r="G23" s="55">
        <f t="shared" si="20"/>
        <v>-700</v>
      </c>
      <c r="H23" s="55">
        <f t="shared" si="20"/>
        <v>0</v>
      </c>
      <c r="I23" s="55">
        <f t="shared" si="20"/>
        <v>0</v>
      </c>
      <c r="J23" s="55">
        <f t="shared" si="20"/>
        <v>0</v>
      </c>
      <c r="K23" s="55">
        <f t="shared" si="20"/>
        <v>0</v>
      </c>
      <c r="L23" s="55">
        <f t="shared" si="20"/>
        <v>0</v>
      </c>
      <c r="M23" s="55">
        <f t="shared" si="20"/>
        <v>0</v>
      </c>
      <c r="N23" s="55">
        <f t="shared" si="20"/>
        <v>0</v>
      </c>
      <c r="O23" s="55">
        <f t="shared" si="20"/>
        <v>0</v>
      </c>
      <c r="P23" s="55">
        <f t="shared" si="20"/>
        <v>1800</v>
      </c>
      <c r="Q23" s="129">
        <f t="shared" si="20"/>
        <v>0</v>
      </c>
      <c r="R23" s="129">
        <f t="shared" si="20"/>
        <v>2000</v>
      </c>
      <c r="S23" s="55">
        <f t="shared" si="20"/>
        <v>0</v>
      </c>
      <c r="T23" s="55">
        <f t="shared" si="20"/>
        <v>0</v>
      </c>
      <c r="U23" s="55">
        <f t="shared" si="20"/>
        <v>0</v>
      </c>
      <c r="V23" s="55">
        <f t="shared" si="20"/>
        <v>0</v>
      </c>
      <c r="W23" s="55">
        <f t="shared" si="20"/>
        <v>0</v>
      </c>
      <c r="X23" s="55">
        <f t="shared" si="20"/>
        <v>0</v>
      </c>
      <c r="Y23" s="55">
        <f t="shared" si="20"/>
        <v>0</v>
      </c>
      <c r="Z23" s="55">
        <f t="shared" si="20"/>
        <v>0</v>
      </c>
      <c r="AA23" s="55">
        <f t="shared" si="20"/>
        <v>0</v>
      </c>
      <c r="AB23" s="55">
        <f t="shared" si="20"/>
        <v>0</v>
      </c>
      <c r="AC23" s="55">
        <f t="shared" si="20"/>
        <v>0</v>
      </c>
      <c r="AE23" s="26">
        <f t="shared" si="5"/>
        <v>700</v>
      </c>
      <c r="AF23" s="292">
        <f t="shared" si="8"/>
        <v>2.5674223446434398E-3</v>
      </c>
    </row>
    <row r="24" spans="2:32">
      <c r="B24" s="376"/>
      <c r="C24" s="17" t="s">
        <v>92</v>
      </c>
      <c r="D24" s="17" t="s">
        <v>84</v>
      </c>
      <c r="E24" s="55">
        <f t="shared" ref="E24:AC24" si="21">E55-E86</f>
        <v>-1200</v>
      </c>
      <c r="F24" s="55">
        <f t="shared" si="21"/>
        <v>0</v>
      </c>
      <c r="G24" s="55">
        <f t="shared" si="21"/>
        <v>-300</v>
      </c>
      <c r="H24" s="55">
        <f t="shared" si="21"/>
        <v>0</v>
      </c>
      <c r="I24" s="55">
        <f t="shared" si="21"/>
        <v>0</v>
      </c>
      <c r="J24" s="55">
        <f t="shared" si="21"/>
        <v>0</v>
      </c>
      <c r="K24" s="55">
        <f t="shared" si="21"/>
        <v>0</v>
      </c>
      <c r="L24" s="55">
        <f t="shared" si="21"/>
        <v>0</v>
      </c>
      <c r="M24" s="55">
        <f t="shared" si="21"/>
        <v>0</v>
      </c>
      <c r="N24" s="55">
        <f t="shared" si="21"/>
        <v>0</v>
      </c>
      <c r="O24" s="55">
        <f t="shared" si="21"/>
        <v>0</v>
      </c>
      <c r="P24" s="55">
        <f t="shared" si="21"/>
        <v>1400</v>
      </c>
      <c r="Q24" s="129">
        <f t="shared" si="21"/>
        <v>0</v>
      </c>
      <c r="R24" s="129">
        <f t="shared" si="21"/>
        <v>2000</v>
      </c>
      <c r="S24" s="55">
        <f t="shared" si="21"/>
        <v>0</v>
      </c>
      <c r="T24" s="55">
        <f t="shared" si="21"/>
        <v>0</v>
      </c>
      <c r="U24" s="55">
        <f t="shared" si="21"/>
        <v>0</v>
      </c>
      <c r="V24" s="55">
        <f t="shared" si="21"/>
        <v>0</v>
      </c>
      <c r="W24" s="55">
        <f t="shared" si="21"/>
        <v>0</v>
      </c>
      <c r="X24" s="55">
        <f t="shared" si="21"/>
        <v>0</v>
      </c>
      <c r="Y24" s="55">
        <f t="shared" si="21"/>
        <v>0</v>
      </c>
      <c r="Z24" s="55">
        <f t="shared" si="21"/>
        <v>0</v>
      </c>
      <c r="AA24" s="55">
        <f t="shared" si="21"/>
        <v>0</v>
      </c>
      <c r="AB24" s="55">
        <f t="shared" si="21"/>
        <v>0</v>
      </c>
      <c r="AC24" s="55">
        <f t="shared" si="21"/>
        <v>0</v>
      </c>
      <c r="AE24" s="26">
        <f t="shared" si="5"/>
        <v>1900</v>
      </c>
      <c r="AF24" s="292">
        <f t="shared" si="8"/>
        <v>1.0848526027897841E-2</v>
      </c>
    </row>
    <row r="25" spans="2:32">
      <c r="B25" s="376"/>
      <c r="C25" s="17" t="s">
        <v>93</v>
      </c>
      <c r="D25" s="17" t="s">
        <v>133</v>
      </c>
      <c r="E25" s="55">
        <f t="shared" ref="E25:AC25" si="22">E56-E87</f>
        <v>-376.12499999999994</v>
      </c>
      <c r="F25" s="55">
        <f t="shared" si="22"/>
        <v>0</v>
      </c>
      <c r="G25" s="55">
        <f t="shared" si="22"/>
        <v>-409.90000000000009</v>
      </c>
      <c r="H25" s="55">
        <f t="shared" si="22"/>
        <v>0</v>
      </c>
      <c r="I25" s="55">
        <f t="shared" si="22"/>
        <v>0</v>
      </c>
      <c r="J25" s="55">
        <f t="shared" si="22"/>
        <v>0</v>
      </c>
      <c r="K25" s="55">
        <f t="shared" si="22"/>
        <v>0</v>
      </c>
      <c r="L25" s="55">
        <f t="shared" si="22"/>
        <v>0</v>
      </c>
      <c r="M25" s="55">
        <f t="shared" si="22"/>
        <v>0</v>
      </c>
      <c r="N25" s="55">
        <f t="shared" si="22"/>
        <v>0</v>
      </c>
      <c r="O25" s="55">
        <f t="shared" si="22"/>
        <v>0</v>
      </c>
      <c r="P25" s="55">
        <f t="shared" si="22"/>
        <v>-7312.9999999999709</v>
      </c>
      <c r="Q25" s="129">
        <f t="shared" si="22"/>
        <v>0</v>
      </c>
      <c r="R25" s="129">
        <f t="shared" si="22"/>
        <v>-1594.6</v>
      </c>
      <c r="S25" s="55">
        <f t="shared" si="22"/>
        <v>0</v>
      </c>
      <c r="T25" s="55">
        <f t="shared" si="22"/>
        <v>0</v>
      </c>
      <c r="U25" s="55">
        <f t="shared" si="22"/>
        <v>0</v>
      </c>
      <c r="V25" s="55">
        <f t="shared" si="22"/>
        <v>0</v>
      </c>
      <c r="W25" s="55">
        <f t="shared" si="22"/>
        <v>0</v>
      </c>
      <c r="X25" s="55">
        <f t="shared" si="22"/>
        <v>0</v>
      </c>
      <c r="Y25" s="55">
        <f t="shared" si="22"/>
        <v>0</v>
      </c>
      <c r="Z25" s="55">
        <f t="shared" si="22"/>
        <v>0</v>
      </c>
      <c r="AA25" s="55">
        <f t="shared" si="22"/>
        <v>0</v>
      </c>
      <c r="AB25" s="55">
        <f t="shared" si="22"/>
        <v>0</v>
      </c>
      <c r="AC25" s="55">
        <f t="shared" si="22"/>
        <v>0</v>
      </c>
      <c r="AE25" s="26">
        <f>SUM(E25:AC25)</f>
        <v>-9693.6249999999709</v>
      </c>
      <c r="AF25" s="292">
        <f t="shared" si="8"/>
        <v>-0.15901330575705588</v>
      </c>
    </row>
    <row r="26" spans="2:32">
      <c r="B26" s="378" t="s">
        <v>95</v>
      </c>
      <c r="C26" s="17" t="s">
        <v>96</v>
      </c>
      <c r="D26" s="17" t="s">
        <v>84</v>
      </c>
      <c r="E26" s="55">
        <f t="shared" ref="E26:AC26" si="23">E57-E88</f>
        <v>-3000</v>
      </c>
      <c r="F26" s="55">
        <f t="shared" si="23"/>
        <v>0</v>
      </c>
      <c r="G26" s="55">
        <f t="shared" si="23"/>
        <v>-1000</v>
      </c>
      <c r="H26" s="55">
        <f t="shared" si="23"/>
        <v>0</v>
      </c>
      <c r="I26" s="55">
        <f t="shared" si="23"/>
        <v>0</v>
      </c>
      <c r="J26" s="55">
        <f t="shared" si="23"/>
        <v>0</v>
      </c>
      <c r="K26" s="55">
        <f t="shared" si="23"/>
        <v>0</v>
      </c>
      <c r="L26" s="55">
        <f t="shared" si="23"/>
        <v>0</v>
      </c>
      <c r="M26" s="55">
        <f t="shared" si="23"/>
        <v>0</v>
      </c>
      <c r="N26" s="55">
        <f t="shared" si="23"/>
        <v>0</v>
      </c>
      <c r="O26" s="55">
        <f t="shared" si="23"/>
        <v>0</v>
      </c>
      <c r="P26" s="55">
        <f t="shared" si="23"/>
        <v>1600</v>
      </c>
      <c r="Q26" s="129">
        <f t="shared" si="23"/>
        <v>0</v>
      </c>
      <c r="R26" s="129">
        <f t="shared" si="23"/>
        <v>2000</v>
      </c>
      <c r="S26" s="55">
        <f t="shared" si="23"/>
        <v>0</v>
      </c>
      <c r="T26" s="55">
        <f t="shared" si="23"/>
        <v>0</v>
      </c>
      <c r="U26" s="55">
        <f t="shared" si="23"/>
        <v>0</v>
      </c>
      <c r="V26" s="55">
        <f t="shared" si="23"/>
        <v>0</v>
      </c>
      <c r="W26" s="55">
        <f t="shared" si="23"/>
        <v>0</v>
      </c>
      <c r="X26" s="55">
        <f t="shared" si="23"/>
        <v>0</v>
      </c>
      <c r="Y26" s="55">
        <f t="shared" si="23"/>
        <v>0</v>
      </c>
      <c r="Z26" s="55">
        <f t="shared" si="23"/>
        <v>0</v>
      </c>
      <c r="AA26" s="55">
        <f t="shared" si="23"/>
        <v>0</v>
      </c>
      <c r="AB26" s="55">
        <f t="shared" si="23"/>
        <v>0</v>
      </c>
      <c r="AC26" s="55">
        <f t="shared" si="23"/>
        <v>0</v>
      </c>
      <c r="AE26" s="27">
        <f t="shared" si="5"/>
        <v>-400</v>
      </c>
      <c r="AF26" s="293">
        <f t="shared" si="8"/>
        <v>-1.1903521954558305E-3</v>
      </c>
    </row>
    <row r="27" spans="2:32">
      <c r="B27" s="378"/>
      <c r="C27" s="17" t="s">
        <v>97</v>
      </c>
      <c r="D27" s="17" t="s">
        <v>84</v>
      </c>
      <c r="E27" s="55">
        <f t="shared" ref="E27:AC27" si="24">E58-E89</f>
        <v>-1200</v>
      </c>
      <c r="F27" s="55">
        <f t="shared" si="24"/>
        <v>0</v>
      </c>
      <c r="G27" s="55">
        <f t="shared" si="24"/>
        <v>-400</v>
      </c>
      <c r="H27" s="55">
        <f t="shared" si="24"/>
        <v>0</v>
      </c>
      <c r="I27" s="55">
        <f t="shared" si="24"/>
        <v>0</v>
      </c>
      <c r="J27" s="55">
        <f t="shared" si="24"/>
        <v>0</v>
      </c>
      <c r="K27" s="55">
        <f t="shared" si="24"/>
        <v>0</v>
      </c>
      <c r="L27" s="55">
        <f t="shared" si="24"/>
        <v>0</v>
      </c>
      <c r="M27" s="55">
        <f t="shared" si="24"/>
        <v>0</v>
      </c>
      <c r="N27" s="55">
        <f t="shared" si="24"/>
        <v>0</v>
      </c>
      <c r="O27" s="55">
        <f t="shared" si="24"/>
        <v>0</v>
      </c>
      <c r="P27" s="55">
        <f t="shared" si="24"/>
        <v>400</v>
      </c>
      <c r="Q27" s="129">
        <f t="shared" si="24"/>
        <v>0</v>
      </c>
      <c r="R27" s="129">
        <f t="shared" si="24"/>
        <v>400</v>
      </c>
      <c r="S27" s="55">
        <f t="shared" si="24"/>
        <v>0</v>
      </c>
      <c r="T27" s="55">
        <f t="shared" si="24"/>
        <v>0</v>
      </c>
      <c r="U27" s="55">
        <f t="shared" si="24"/>
        <v>0</v>
      </c>
      <c r="V27" s="55">
        <f t="shared" si="24"/>
        <v>0</v>
      </c>
      <c r="W27" s="55">
        <f t="shared" si="24"/>
        <v>0</v>
      </c>
      <c r="X27" s="55">
        <f t="shared" si="24"/>
        <v>0</v>
      </c>
      <c r="Y27" s="55">
        <f t="shared" si="24"/>
        <v>0</v>
      </c>
      <c r="Z27" s="55">
        <f t="shared" si="24"/>
        <v>0</v>
      </c>
      <c r="AA27" s="55">
        <f t="shared" si="24"/>
        <v>0</v>
      </c>
      <c r="AB27" s="55">
        <f t="shared" si="24"/>
        <v>0</v>
      </c>
      <c r="AC27" s="55">
        <f t="shared" si="24"/>
        <v>0</v>
      </c>
      <c r="AE27" s="27">
        <f t="shared" si="5"/>
        <v>-800</v>
      </c>
      <c r="AF27" s="293">
        <f t="shared" si="8"/>
        <v>-6.4021511227772528E-3</v>
      </c>
    </row>
    <row r="28" spans="2:32">
      <c r="B28" s="378"/>
      <c r="C28" s="17" t="s">
        <v>98</v>
      </c>
      <c r="D28" s="17" t="s">
        <v>84</v>
      </c>
      <c r="E28" s="55">
        <f t="shared" ref="E28:AC28" si="25">E59-E90</f>
        <v>-1200</v>
      </c>
      <c r="F28" s="55">
        <f t="shared" si="25"/>
        <v>0</v>
      </c>
      <c r="G28" s="55">
        <f t="shared" si="25"/>
        <v>-400</v>
      </c>
      <c r="H28" s="55">
        <f t="shared" si="25"/>
        <v>0</v>
      </c>
      <c r="I28" s="55">
        <f t="shared" si="25"/>
        <v>0</v>
      </c>
      <c r="J28" s="55">
        <f t="shared" si="25"/>
        <v>0</v>
      </c>
      <c r="K28" s="55">
        <f t="shared" si="25"/>
        <v>0</v>
      </c>
      <c r="L28" s="55">
        <f t="shared" si="25"/>
        <v>0</v>
      </c>
      <c r="M28" s="55">
        <f t="shared" si="25"/>
        <v>0</v>
      </c>
      <c r="N28" s="55">
        <f t="shared" si="25"/>
        <v>0</v>
      </c>
      <c r="O28" s="55">
        <f t="shared" si="25"/>
        <v>0</v>
      </c>
      <c r="P28" s="55">
        <f t="shared" si="25"/>
        <v>600</v>
      </c>
      <c r="Q28" s="129">
        <f t="shared" si="25"/>
        <v>0</v>
      </c>
      <c r="R28" s="129">
        <f t="shared" si="25"/>
        <v>0</v>
      </c>
      <c r="S28" s="55">
        <f t="shared" si="25"/>
        <v>0</v>
      </c>
      <c r="T28" s="55">
        <f t="shared" si="25"/>
        <v>0</v>
      </c>
      <c r="U28" s="55">
        <f t="shared" si="25"/>
        <v>0</v>
      </c>
      <c r="V28" s="55">
        <f t="shared" si="25"/>
        <v>0</v>
      </c>
      <c r="W28" s="55">
        <f t="shared" si="25"/>
        <v>0</v>
      </c>
      <c r="X28" s="55">
        <f t="shared" si="25"/>
        <v>0</v>
      </c>
      <c r="Y28" s="55">
        <f t="shared" si="25"/>
        <v>0</v>
      </c>
      <c r="Z28" s="55">
        <f t="shared" si="25"/>
        <v>0</v>
      </c>
      <c r="AA28" s="55">
        <f t="shared" si="25"/>
        <v>0</v>
      </c>
      <c r="AB28" s="55">
        <f t="shared" si="25"/>
        <v>0</v>
      </c>
      <c r="AC28" s="55">
        <f t="shared" si="25"/>
        <v>0</v>
      </c>
      <c r="AE28" s="27">
        <f t="shared" si="5"/>
        <v>-1000</v>
      </c>
      <c r="AF28" s="293">
        <f t="shared" si="8"/>
        <v>-8.6694177619031105E-3</v>
      </c>
    </row>
    <row r="29" spans="2:32">
      <c r="B29" s="378"/>
      <c r="C29" s="17" t="s">
        <v>99</v>
      </c>
      <c r="D29" s="17" t="s">
        <v>84</v>
      </c>
      <c r="E29" s="55">
        <f t="shared" ref="E29:AC29" si="26">E60-E91</f>
        <v>-2100</v>
      </c>
      <c r="F29" s="55">
        <f t="shared" si="26"/>
        <v>0</v>
      </c>
      <c r="G29" s="55">
        <f t="shared" si="26"/>
        <v>-700</v>
      </c>
      <c r="H29" s="55">
        <f t="shared" si="26"/>
        <v>0</v>
      </c>
      <c r="I29" s="55">
        <f t="shared" si="26"/>
        <v>0</v>
      </c>
      <c r="J29" s="55">
        <f t="shared" si="26"/>
        <v>0</v>
      </c>
      <c r="K29" s="55">
        <f t="shared" si="26"/>
        <v>0</v>
      </c>
      <c r="L29" s="55">
        <f t="shared" si="26"/>
        <v>0</v>
      </c>
      <c r="M29" s="55">
        <f t="shared" si="26"/>
        <v>0</v>
      </c>
      <c r="N29" s="55">
        <f t="shared" si="26"/>
        <v>0</v>
      </c>
      <c r="O29" s="55">
        <f t="shared" si="26"/>
        <v>0</v>
      </c>
      <c r="P29" s="55">
        <f t="shared" si="26"/>
        <v>1200</v>
      </c>
      <c r="Q29" s="129">
        <f t="shared" si="26"/>
        <v>0</v>
      </c>
      <c r="R29" s="129">
        <f t="shared" si="26"/>
        <v>1200</v>
      </c>
      <c r="S29" s="55">
        <f t="shared" si="26"/>
        <v>0</v>
      </c>
      <c r="T29" s="55">
        <f t="shared" si="26"/>
        <v>0</v>
      </c>
      <c r="U29" s="55">
        <f t="shared" si="26"/>
        <v>0</v>
      </c>
      <c r="V29" s="55">
        <f t="shared" si="26"/>
        <v>0</v>
      </c>
      <c r="W29" s="55">
        <f t="shared" si="26"/>
        <v>0</v>
      </c>
      <c r="X29" s="55">
        <f t="shared" si="26"/>
        <v>0</v>
      </c>
      <c r="Y29" s="55">
        <f t="shared" si="26"/>
        <v>0</v>
      </c>
      <c r="Z29" s="55">
        <f t="shared" si="26"/>
        <v>0</v>
      </c>
      <c r="AA29" s="55">
        <f t="shared" si="26"/>
        <v>0</v>
      </c>
      <c r="AB29" s="55">
        <f t="shared" si="26"/>
        <v>0</v>
      </c>
      <c r="AC29" s="55">
        <f t="shared" si="26"/>
        <v>0</v>
      </c>
      <c r="AE29" s="27">
        <f t="shared" si="5"/>
        <v>-400</v>
      </c>
      <c r="AF29" s="293">
        <f t="shared" si="8"/>
        <v>-1.6982325644585398E-3</v>
      </c>
    </row>
    <row r="30" spans="2:32">
      <c r="B30" s="378"/>
      <c r="C30" s="17" t="s">
        <v>100</v>
      </c>
      <c r="D30" s="17" t="s">
        <v>84</v>
      </c>
      <c r="E30" s="55">
        <f t="shared" ref="E30:AC30" si="27">E61-E92</f>
        <v>-2100</v>
      </c>
      <c r="F30" s="55">
        <f t="shared" si="27"/>
        <v>0</v>
      </c>
      <c r="G30" s="55">
        <f t="shared" si="27"/>
        <v>-700</v>
      </c>
      <c r="H30" s="55">
        <f t="shared" si="27"/>
        <v>0</v>
      </c>
      <c r="I30" s="55">
        <f t="shared" si="27"/>
        <v>0</v>
      </c>
      <c r="J30" s="55">
        <f t="shared" si="27"/>
        <v>0</v>
      </c>
      <c r="K30" s="55">
        <f t="shared" si="27"/>
        <v>0</v>
      </c>
      <c r="L30" s="55">
        <f t="shared" si="27"/>
        <v>0</v>
      </c>
      <c r="M30" s="55">
        <f t="shared" si="27"/>
        <v>0</v>
      </c>
      <c r="N30" s="55">
        <f t="shared" si="27"/>
        <v>0</v>
      </c>
      <c r="O30" s="55">
        <f t="shared" si="27"/>
        <v>0</v>
      </c>
      <c r="P30" s="55">
        <f t="shared" si="27"/>
        <v>1200</v>
      </c>
      <c r="Q30" s="129">
        <f t="shared" si="27"/>
        <v>0</v>
      </c>
      <c r="R30" s="129">
        <f t="shared" si="27"/>
        <v>1200</v>
      </c>
      <c r="S30" s="55">
        <f t="shared" si="27"/>
        <v>0</v>
      </c>
      <c r="T30" s="55">
        <f t="shared" si="27"/>
        <v>0</v>
      </c>
      <c r="U30" s="55">
        <f t="shared" si="27"/>
        <v>0</v>
      </c>
      <c r="V30" s="55">
        <f t="shared" si="27"/>
        <v>0</v>
      </c>
      <c r="W30" s="55">
        <f t="shared" si="27"/>
        <v>0</v>
      </c>
      <c r="X30" s="55">
        <f t="shared" si="27"/>
        <v>0</v>
      </c>
      <c r="Y30" s="55">
        <f t="shared" si="27"/>
        <v>0</v>
      </c>
      <c r="Z30" s="55">
        <f t="shared" si="27"/>
        <v>0</v>
      </c>
      <c r="AA30" s="55">
        <f t="shared" si="27"/>
        <v>0</v>
      </c>
      <c r="AB30" s="55">
        <f t="shared" si="27"/>
        <v>0</v>
      </c>
      <c r="AC30" s="55">
        <f t="shared" si="27"/>
        <v>0</v>
      </c>
      <c r="AE30" s="27">
        <f t="shared" si="5"/>
        <v>-400</v>
      </c>
      <c r="AF30" s="293">
        <f t="shared" si="8"/>
        <v>-1.6982325644585398E-3</v>
      </c>
    </row>
    <row r="31" spans="2:32">
      <c r="B31" s="381"/>
      <c r="C31" s="203" t="s">
        <v>101</v>
      </c>
      <c r="D31" s="203" t="s">
        <v>84</v>
      </c>
      <c r="E31" s="86">
        <f t="shared" ref="E31:AC31" si="28">E62-E93</f>
        <v>-3000</v>
      </c>
      <c r="F31" s="86">
        <f t="shared" si="28"/>
        <v>0</v>
      </c>
      <c r="G31" s="86">
        <f t="shared" si="28"/>
        <v>-1000</v>
      </c>
      <c r="H31" s="86">
        <f t="shared" si="28"/>
        <v>0</v>
      </c>
      <c r="I31" s="86">
        <f t="shared" si="28"/>
        <v>0</v>
      </c>
      <c r="J31" s="86">
        <f t="shared" si="28"/>
        <v>0</v>
      </c>
      <c r="K31" s="86">
        <f t="shared" si="28"/>
        <v>0</v>
      </c>
      <c r="L31" s="86">
        <f t="shared" si="28"/>
        <v>0</v>
      </c>
      <c r="M31" s="86">
        <f t="shared" si="28"/>
        <v>0</v>
      </c>
      <c r="N31" s="86">
        <f t="shared" si="28"/>
        <v>0</v>
      </c>
      <c r="O31" s="86">
        <f t="shared" si="28"/>
        <v>0</v>
      </c>
      <c r="P31" s="86">
        <f t="shared" si="28"/>
        <v>1000</v>
      </c>
      <c r="Q31" s="130">
        <f t="shared" si="28"/>
        <v>0</v>
      </c>
      <c r="R31" s="130">
        <f t="shared" si="28"/>
        <v>1000</v>
      </c>
      <c r="S31" s="86">
        <f t="shared" si="28"/>
        <v>0</v>
      </c>
      <c r="T31" s="86">
        <f t="shared" si="28"/>
        <v>0</v>
      </c>
      <c r="U31" s="86">
        <f t="shared" si="28"/>
        <v>0</v>
      </c>
      <c r="V31" s="86">
        <f t="shared" si="28"/>
        <v>0</v>
      </c>
      <c r="W31" s="86">
        <f t="shared" si="28"/>
        <v>0</v>
      </c>
      <c r="X31" s="86">
        <f t="shared" si="28"/>
        <v>0</v>
      </c>
      <c r="Y31" s="86">
        <f t="shared" si="28"/>
        <v>0</v>
      </c>
      <c r="Z31" s="86">
        <f t="shared" si="28"/>
        <v>0</v>
      </c>
      <c r="AA31" s="86">
        <f t="shared" si="28"/>
        <v>0</v>
      </c>
      <c r="AB31" s="86">
        <f t="shared" si="28"/>
        <v>0</v>
      </c>
      <c r="AC31" s="86">
        <f t="shared" si="28"/>
        <v>0</v>
      </c>
      <c r="AE31" s="27">
        <f t="shared" si="5"/>
        <v>-2000</v>
      </c>
      <c r="AF31" s="293">
        <f t="shared" si="8"/>
        <v>-6.8435730294786907E-3</v>
      </c>
    </row>
    <row r="34" spans="1:31" ht="18.75">
      <c r="A34" s="21" t="s">
        <v>28</v>
      </c>
      <c r="E34" s="12"/>
      <c r="F34" s="12"/>
      <c r="G34" s="12"/>
      <c r="H34" s="12"/>
      <c r="I34" s="12"/>
      <c r="J34" s="12"/>
      <c r="K34" s="12"/>
      <c r="L34" s="12"/>
      <c r="M34" s="12"/>
      <c r="N34" s="12"/>
      <c r="O34" s="12"/>
      <c r="P34" s="12"/>
      <c r="Q34" s="131"/>
      <c r="R34" s="131"/>
      <c r="S34" s="12"/>
      <c r="T34" s="12"/>
      <c r="U34" s="12"/>
      <c r="V34" s="12"/>
      <c r="W34" s="12"/>
      <c r="X34" s="12"/>
      <c r="Y34" s="12"/>
      <c r="Z34" s="12"/>
      <c r="AA34" s="12"/>
      <c r="AB34" s="12"/>
      <c r="AC34" s="12"/>
    </row>
    <row r="35" spans="1:31" ht="18.75">
      <c r="A35" s="21"/>
      <c r="B35" s="121"/>
      <c r="C35" s="121" t="s">
        <v>134</v>
      </c>
      <c r="D35" s="121" t="s">
        <v>30</v>
      </c>
      <c r="E35" s="122">
        <f>SUMIF(Scenario!$B$14:$B$38,E$36,Scenario!$F$14:$F$38)</f>
        <v>309</v>
      </c>
      <c r="F35" s="122">
        <f>SUMIF(Scenario!$B$14:$B$38,F$36,Scenario!$F$14:$F$38)</f>
        <v>3141</v>
      </c>
      <c r="G35" s="122">
        <f>SUMIF(Scenario!$B$14:$B$38,G$36,Scenario!$F$14:$F$38)</f>
        <v>561</v>
      </c>
      <c r="H35" s="122">
        <f>SUMIF(Scenario!$B$14:$B$38,H$36,Scenario!$F$14:$F$38)</f>
        <v>12830</v>
      </c>
      <c r="I35" s="122">
        <f>SUMIF(Scenario!$B$14:$B$38,I$36,Scenario!$F$14:$F$38)</f>
        <v>275</v>
      </c>
      <c r="J35" s="122">
        <f>SUMIF(Scenario!$B$14:$B$38,J$36,Scenario!$F$14:$F$38)</f>
        <v>1256</v>
      </c>
      <c r="K35" s="122">
        <f>SUMIF(Scenario!$B$14:$B$38,K$36,Scenario!$F$14:$F$38)</f>
        <v>29</v>
      </c>
      <c r="L35" s="122">
        <f>SUMIF(Scenario!$B$14:$B$38,L$36,Scenario!$F$14:$F$38)</f>
        <v>208</v>
      </c>
      <c r="M35" s="122">
        <f>SUMIF(Scenario!$B$14:$B$38,M$36,Scenario!$F$14:$F$38)</f>
        <v>172</v>
      </c>
      <c r="N35" s="122">
        <f>SUMIF(Scenario!$B$14:$B$38,N$36,Scenario!$F$14:$F$38)</f>
        <v>2447</v>
      </c>
      <c r="O35" s="122">
        <f>SUMIF(Scenario!$B$14:$B$38,O$36,Scenario!$F$14:$F$38)</f>
        <v>731</v>
      </c>
      <c r="P35" s="122">
        <f>SUMIF(Scenario!$B$14:$B$38,P$36,Scenario!$F$14:$F$38)</f>
        <v>7306</v>
      </c>
      <c r="Q35" s="132">
        <f>SUMIF(Scenario!$B$14:$B$38,Q$36,Scenario!$F$14:$F$38)</f>
        <v>4459</v>
      </c>
      <c r="R35" s="132">
        <f>SUMIF(Scenario!$B$14:$B$38,R$36,Scenario!$F$14:$F$38)</f>
        <v>214</v>
      </c>
      <c r="S35" s="122">
        <f>SUMIF(Scenario!$B$14:$B$38,S$36,Scenario!$F$14:$F$38)</f>
        <v>0</v>
      </c>
      <c r="T35" s="122">
        <f>SUMIF(Scenario!$B$14:$B$38,T$36,Scenario!$F$14:$F$38)</f>
        <v>179</v>
      </c>
      <c r="U35" s="122">
        <f>SUMIF(Scenario!$B$14:$B$38,U$36,Scenario!$F$14:$F$38)</f>
        <v>609</v>
      </c>
      <c r="V35" s="122">
        <f>SUMIF(Scenario!$B$14:$B$38,V$36,Scenario!$F$14:$F$38)</f>
        <v>24</v>
      </c>
      <c r="W35" s="122">
        <f>SUMIF(Scenario!$B$14:$B$38,W$36,Scenario!$F$14:$F$38)</f>
        <v>701</v>
      </c>
      <c r="X35" s="122">
        <f>SUMIF(Scenario!$B$14:$B$38,X$36,Scenario!$F$14:$F$38)</f>
        <v>106</v>
      </c>
      <c r="Y35" s="122">
        <f>SUMIF(Scenario!$B$14:$B$38,Y$36,Scenario!$F$14:$F$38)</f>
        <v>30</v>
      </c>
      <c r="Z35" s="122">
        <f>SUMIF(Scenario!$B$14:$B$38,Z$36,Scenario!$F$14:$F$38)</f>
        <v>145</v>
      </c>
      <c r="AA35" s="123">
        <f>SUMIF(Scenario!$B$14:$B$38,AA$36,Scenario!$F$14:$F$38)</f>
        <v>0</v>
      </c>
      <c r="AB35" s="123">
        <f>SUMIF(Scenario!$B$14:$B$38,AB$36,Scenario!$F$14:$F$38)</f>
        <v>0</v>
      </c>
      <c r="AC35" s="123">
        <f>SUMIF(Scenario!$B$14:$B$38,AC$36,Scenario!$F$14:$F$38)</f>
        <v>0</v>
      </c>
      <c r="AD35" s="17"/>
      <c r="AE35" s="124">
        <f>SUM(E35:AC35)</f>
        <v>35732</v>
      </c>
    </row>
    <row r="36" spans="1:31" s="15" customFormat="1" ht="85.5" customHeight="1">
      <c r="B36" s="17" t="s">
        <v>41</v>
      </c>
      <c r="C36" s="17" t="s">
        <v>42</v>
      </c>
      <c r="D36" s="17" t="s">
        <v>43</v>
      </c>
      <c r="E36" s="16" t="str">
        <f t="shared" ref="E36:AC36" si="29">E5</f>
        <v>Sheep + Beef  (SEPP)</v>
      </c>
      <c r="F36" s="16" t="str">
        <f t="shared" si="29"/>
        <v>Sheep + Beef  (Non-SEPP)</v>
      </c>
      <c r="G36" s="16" t="str">
        <f t="shared" si="29"/>
        <v>Dairy (SEPP)</v>
      </c>
      <c r="H36" s="16" t="str">
        <f t="shared" si="29"/>
        <v>Dairy (Non-SEPP)</v>
      </c>
      <c r="I36" s="16" t="str">
        <f t="shared" si="29"/>
        <v>Dairy support/high intensity beef or dairy grazing (SEPP)</v>
      </c>
      <c r="J36" s="16" t="str">
        <f t="shared" si="29"/>
        <v>Dairy support/high intensity beef or dairy grazing (Non-SEPP)</v>
      </c>
      <c r="K36" s="16" t="str">
        <f t="shared" si="29"/>
        <v>Deer (SEPP)</v>
      </c>
      <c r="L36" s="16" t="str">
        <f t="shared" si="29"/>
        <v>Deer (Non-SEPP)</v>
      </c>
      <c r="M36" s="16" t="str">
        <f t="shared" si="29"/>
        <v>Arable/vegetables</v>
      </c>
      <c r="N36" s="16" t="str">
        <f t="shared" si="29"/>
        <v>Kiwifruit</v>
      </c>
      <c r="O36" s="16" t="str">
        <f t="shared" si="29"/>
        <v>Other horticulture</v>
      </c>
      <c r="P36" s="16" t="str">
        <f t="shared" si="29"/>
        <v>Forestry - Exotic</v>
      </c>
      <c r="Q36" s="126" t="str">
        <f t="shared" si="29"/>
        <v>Forestry - Indigenous pre-1990</v>
      </c>
      <c r="R36" s="126" t="str">
        <f t="shared" si="29"/>
        <v>Forestry - Indigenous post-1989</v>
      </c>
      <c r="S36" s="16" t="str">
        <f t="shared" si="29"/>
        <v>Parks and Recreation</v>
      </c>
      <c r="T36" s="16" t="str">
        <f t="shared" si="29"/>
        <v>Wetlands</v>
      </c>
      <c r="U36" s="16" t="str">
        <f t="shared" si="29"/>
        <v>Urban/road/rail</v>
      </c>
      <c r="V36" s="16" t="str">
        <f t="shared" si="29"/>
        <v>Lifestyle block or mixed land use (SEPP)</v>
      </c>
      <c r="W36" s="16" t="str">
        <f t="shared" si="29"/>
        <v>Lifestyle block or mixed land use (Non-SEPP)</v>
      </c>
      <c r="X36" s="16" t="str">
        <f t="shared" si="29"/>
        <v>Hydro</v>
      </c>
      <c r="Y36" s="16" t="str">
        <f t="shared" si="29"/>
        <v>Other</v>
      </c>
      <c r="Z36" s="16" t="str">
        <f t="shared" si="29"/>
        <v>Scrub</v>
      </c>
      <c r="AA36" s="20" t="str">
        <f t="shared" si="29"/>
        <v>Custom Land Use A</v>
      </c>
      <c r="AB36" s="20" t="str">
        <f t="shared" si="29"/>
        <v>Custom Land Use B</v>
      </c>
      <c r="AC36" s="20" t="str">
        <f t="shared" si="29"/>
        <v>Custom Land Use C</v>
      </c>
      <c r="AE36" s="120" t="s">
        <v>135</v>
      </c>
    </row>
    <row r="37" spans="1:31">
      <c r="B37" s="377" t="str">
        <f>B6</f>
        <v>Economic</v>
      </c>
      <c r="C37" t="str">
        <f>C6</f>
        <v>Value-added - Direct impact</v>
      </c>
      <c r="D37" t="str">
        <f>D6</f>
        <v>$</v>
      </c>
      <c r="E37" s="22">
        <f>E$35*Inputs!E12</f>
        <v>132561</v>
      </c>
      <c r="F37" s="22">
        <f>F$35*Inputs!F12</f>
        <v>1909728</v>
      </c>
      <c r="G37" s="22">
        <f>G$35*Inputs!G12</f>
        <v>1358181</v>
      </c>
      <c r="H37" s="22">
        <f>H$35*Inputs!H12</f>
        <v>73952120</v>
      </c>
      <c r="I37" s="22">
        <f>I$35*Inputs!I12</f>
        <v>115775</v>
      </c>
      <c r="J37" s="22">
        <f>J$35*Inputs!J12</f>
        <v>1259768</v>
      </c>
      <c r="K37" s="22">
        <f>K$35*Inputs!K12</f>
        <v>5510</v>
      </c>
      <c r="L37" s="22">
        <f>L$35*Inputs!L12</f>
        <v>94016</v>
      </c>
      <c r="M37" s="22">
        <f>M$35*Inputs!M12</f>
        <v>613352</v>
      </c>
      <c r="N37" s="22">
        <f>N$35*Inputs!N12</f>
        <v>178347148</v>
      </c>
      <c r="O37" s="22">
        <f>O$35*Inputs!O12</f>
        <v>13808590</v>
      </c>
      <c r="P37" s="22">
        <f>P$35*Inputs!P12</f>
        <v>2593630</v>
      </c>
      <c r="Q37" s="58">
        <f>Q$35*Inputs!Q12</f>
        <v>0</v>
      </c>
      <c r="R37" s="58">
        <f>R$35*Inputs!R12</f>
        <v>0</v>
      </c>
      <c r="S37" s="22">
        <f>S$35*Inputs!S12</f>
        <v>0</v>
      </c>
      <c r="T37" s="22">
        <f>T$35*Inputs!T12</f>
        <v>0</v>
      </c>
      <c r="U37" s="22">
        <f>U$35*Inputs!U12</f>
        <v>0</v>
      </c>
      <c r="V37" s="22">
        <f>V$35*Inputs!V12</f>
        <v>0</v>
      </c>
      <c r="W37" s="22">
        <f>W$35*Inputs!W12</f>
        <v>0</v>
      </c>
      <c r="X37" s="22">
        <f>X$35*Inputs!X12</f>
        <v>0</v>
      </c>
      <c r="Y37" s="22">
        <f>Y$35*Inputs!Y12</f>
        <v>0</v>
      </c>
      <c r="Z37" s="22">
        <f>Z$35*Inputs!Z12</f>
        <v>0</v>
      </c>
      <c r="AA37" s="22">
        <f>AA$35*Inputs!AA12</f>
        <v>0</v>
      </c>
      <c r="AB37" s="22">
        <f>AB$35*Inputs!AB12</f>
        <v>0</v>
      </c>
      <c r="AC37" s="22">
        <f>AC$35*Inputs!AC12</f>
        <v>0</v>
      </c>
      <c r="AE37" s="25">
        <f>SUM(E37:AC37)</f>
        <v>274190379</v>
      </c>
    </row>
    <row r="38" spans="1:31">
      <c r="B38" s="377"/>
      <c r="C38" s="23" t="s">
        <v>69</v>
      </c>
      <c r="D38" s="23" t="s">
        <v>127</v>
      </c>
      <c r="E38" s="22">
        <f>E$35*Inputs!E13</f>
        <v>189726</v>
      </c>
      <c r="F38" s="22">
        <f>F$35*Inputs!F13</f>
        <v>2738952</v>
      </c>
      <c r="G38" s="22">
        <f>G$35*Inputs!G13</f>
        <v>1852422</v>
      </c>
      <c r="H38" s="22">
        <f>H$35*Inputs!H13</f>
        <v>100869460</v>
      </c>
      <c r="I38" s="22">
        <f>I$35*Inputs!I13</f>
        <v>158125</v>
      </c>
      <c r="J38" s="22">
        <f>J$35*Inputs!J13</f>
        <v>1718208</v>
      </c>
      <c r="K38" s="22">
        <f>K$35*Inputs!K13</f>
        <v>8497</v>
      </c>
      <c r="L38" s="22">
        <f>L$35*Inputs!L13</f>
        <v>144976</v>
      </c>
      <c r="M38" s="22">
        <f>M$35*Inputs!M13</f>
        <v>878920</v>
      </c>
      <c r="N38" s="22">
        <f>N$35*Inputs!N13</f>
        <v>283653793</v>
      </c>
      <c r="O38" s="22">
        <f>O$35*Inputs!O13</f>
        <v>21962164</v>
      </c>
      <c r="P38" s="22">
        <f>P$35*Inputs!P13</f>
        <v>5516030</v>
      </c>
      <c r="Q38" s="58">
        <f>Q$35*Inputs!Q13</f>
        <v>0</v>
      </c>
      <c r="R38" s="58">
        <f>R$35*Inputs!R13</f>
        <v>0</v>
      </c>
      <c r="S38" s="22">
        <f>S$35*Inputs!S13</f>
        <v>0</v>
      </c>
      <c r="T38" s="22">
        <f>T$35*Inputs!T13</f>
        <v>0</v>
      </c>
      <c r="U38" s="22">
        <f>U$35*Inputs!U13</f>
        <v>0</v>
      </c>
      <c r="V38" s="22">
        <f>V$35*Inputs!V13</f>
        <v>0</v>
      </c>
      <c r="W38" s="22">
        <f>W$35*Inputs!W13</f>
        <v>0</v>
      </c>
      <c r="X38" s="22">
        <f>X$35*Inputs!X13</f>
        <v>0</v>
      </c>
      <c r="Y38" s="22">
        <f>Y$35*Inputs!Y13</f>
        <v>0</v>
      </c>
      <c r="Z38" s="22">
        <f>Z$35*Inputs!Z13</f>
        <v>0</v>
      </c>
      <c r="AA38" s="22">
        <f>AA$35*Inputs!AA13</f>
        <v>0</v>
      </c>
      <c r="AB38" s="22">
        <f>AB$35*Inputs!AB13</f>
        <v>0</v>
      </c>
      <c r="AC38" s="22">
        <f>AC$35*Inputs!AC13</f>
        <v>0</v>
      </c>
      <c r="AE38" s="25">
        <f t="shared" ref="AE38:AE62" si="30">SUM(E38:AC38)</f>
        <v>419691273</v>
      </c>
    </row>
    <row r="39" spans="1:31">
      <c r="B39" s="377"/>
      <c r="C39" s="23" t="s">
        <v>70</v>
      </c>
      <c r="D39" s="23" t="s">
        <v>127</v>
      </c>
      <c r="E39" s="22">
        <f>E$35*Inputs!E14</f>
        <v>230205</v>
      </c>
      <c r="F39" s="22">
        <f>F$35*Inputs!F14</f>
        <v>3320037</v>
      </c>
      <c r="G39" s="22">
        <f>G$35*Inputs!G14</f>
        <v>2303466</v>
      </c>
      <c r="H39" s="22">
        <f>H$35*Inputs!H14</f>
        <v>125438910</v>
      </c>
      <c r="I39" s="22">
        <f>I$35*Inputs!I14</f>
        <v>196625</v>
      </c>
      <c r="J39" s="22">
        <f>J$35*Inputs!J14</f>
        <v>2136456</v>
      </c>
      <c r="K39" s="22">
        <f>K$35*Inputs!K14</f>
        <v>10643</v>
      </c>
      <c r="L39" s="22">
        <f>L$35*Inputs!L14</f>
        <v>181792</v>
      </c>
      <c r="M39" s="22">
        <f>M$35*Inputs!M14</f>
        <v>1065368</v>
      </c>
      <c r="N39" s="22">
        <f>N$35*Inputs!N14</f>
        <v>360227764</v>
      </c>
      <c r="O39" s="22">
        <f>O$35*Inputs!O14</f>
        <v>27891305</v>
      </c>
      <c r="P39" s="22">
        <f>P$35*Inputs!P14</f>
        <v>6977230</v>
      </c>
      <c r="Q39" s="58">
        <f>Q$35*Inputs!Q14</f>
        <v>0</v>
      </c>
      <c r="R39" s="58">
        <f>R$35*Inputs!R14</f>
        <v>0</v>
      </c>
      <c r="S39" s="22">
        <f>S$35*Inputs!S14</f>
        <v>0</v>
      </c>
      <c r="T39" s="22">
        <f>T$35*Inputs!T14</f>
        <v>0</v>
      </c>
      <c r="U39" s="22">
        <f>U$35*Inputs!U14</f>
        <v>0</v>
      </c>
      <c r="V39" s="22">
        <f>V$35*Inputs!V14</f>
        <v>0</v>
      </c>
      <c r="W39" s="22">
        <f>W$35*Inputs!W14</f>
        <v>0</v>
      </c>
      <c r="X39" s="22">
        <f>X$35*Inputs!X14</f>
        <v>0</v>
      </c>
      <c r="Y39" s="22">
        <f>Y$35*Inputs!Y14</f>
        <v>0</v>
      </c>
      <c r="Z39" s="22">
        <f>Z$35*Inputs!Z14</f>
        <v>0</v>
      </c>
      <c r="AA39" s="22">
        <f>AA$35*Inputs!AA14</f>
        <v>0</v>
      </c>
      <c r="AB39" s="22">
        <f>AB$35*Inputs!AB14</f>
        <v>0</v>
      </c>
      <c r="AC39" s="22">
        <f>AC$35*Inputs!AC14</f>
        <v>0</v>
      </c>
      <c r="AE39" s="25">
        <f t="shared" si="30"/>
        <v>529979801</v>
      </c>
    </row>
    <row r="40" spans="1:31">
      <c r="B40" s="377"/>
      <c r="C40" s="23" t="str">
        <f>C9</f>
        <v>Employment -Direct impact</v>
      </c>
      <c r="D40" s="23" t="str">
        <f>D9</f>
        <v>MEC</v>
      </c>
      <c r="E40" s="22">
        <f>E$35*Inputs!E15</f>
        <v>0.98880000000000001</v>
      </c>
      <c r="F40" s="22">
        <f>F$35*Inputs!F15</f>
        <v>14.134499999999999</v>
      </c>
      <c r="G40" s="22">
        <f>G$35*Inputs!G15</f>
        <v>6.6197999999999997</v>
      </c>
      <c r="H40" s="22">
        <f>H$35*Inputs!H15</f>
        <v>360.52300000000002</v>
      </c>
      <c r="I40" s="22">
        <f>I$35*Inputs!I15</f>
        <v>0.57750000000000001</v>
      </c>
      <c r="J40" s="22">
        <f>J$35*Inputs!J15</f>
        <v>6.1543999999999999</v>
      </c>
      <c r="K40" s="22">
        <f>K$35*Inputs!K15</f>
        <v>0.10150000000000001</v>
      </c>
      <c r="L40" s="22">
        <f>L$35*Inputs!L15</f>
        <v>1.7471999999999999</v>
      </c>
      <c r="M40" s="22">
        <f>M$35*Inputs!M15</f>
        <v>4.5407999999999999</v>
      </c>
      <c r="N40" s="22">
        <f>N$35*Inputs!N15</f>
        <v>863.54629999999997</v>
      </c>
      <c r="O40" s="22">
        <f>O$35*Inputs!O15</f>
        <v>66.886499999999998</v>
      </c>
      <c r="P40" s="22">
        <f>P$35*Inputs!P15</f>
        <v>2.9224000000000001</v>
      </c>
      <c r="Q40" s="58">
        <f>Q$35*Inputs!Q15</f>
        <v>0</v>
      </c>
      <c r="R40" s="58">
        <f>R$35*Inputs!R15</f>
        <v>0</v>
      </c>
      <c r="S40" s="22">
        <f>S$35*Inputs!S15</f>
        <v>0</v>
      </c>
      <c r="T40" s="22">
        <f>T$35*Inputs!T15</f>
        <v>0</v>
      </c>
      <c r="U40" s="22">
        <f>U$35*Inputs!U15</f>
        <v>0</v>
      </c>
      <c r="V40" s="22">
        <f>V$35*Inputs!V15</f>
        <v>0</v>
      </c>
      <c r="W40" s="22">
        <f>W$35*Inputs!W15</f>
        <v>0</v>
      </c>
      <c r="X40" s="22">
        <f>X$35*Inputs!X15</f>
        <v>0</v>
      </c>
      <c r="Y40" s="22">
        <f>Y$35*Inputs!Y15</f>
        <v>0</v>
      </c>
      <c r="Z40" s="22">
        <f>Z$35*Inputs!Z15</f>
        <v>0</v>
      </c>
      <c r="AA40" s="22">
        <f>AA$35*Inputs!AA15</f>
        <v>0</v>
      </c>
      <c r="AB40" s="22">
        <f>AB$35*Inputs!AB15</f>
        <v>0</v>
      </c>
      <c r="AC40" s="22">
        <f>AC$35*Inputs!AC15</f>
        <v>0</v>
      </c>
      <c r="AE40" s="25">
        <f t="shared" si="30"/>
        <v>1328.7427</v>
      </c>
    </row>
    <row r="41" spans="1:31">
      <c r="B41" s="377"/>
      <c r="C41" s="23" t="s">
        <v>130</v>
      </c>
      <c r="D41" s="23" t="s">
        <v>129</v>
      </c>
      <c r="E41" s="22">
        <f>E$35*Inputs!E16</f>
        <v>1.5449999999999999</v>
      </c>
      <c r="F41" s="22">
        <f>F$35*Inputs!F16</f>
        <v>22.301100000000002</v>
      </c>
      <c r="G41" s="22">
        <f>G$35*Inputs!G16</f>
        <v>11.6127</v>
      </c>
      <c r="H41" s="22">
        <f>H$35*Inputs!H16</f>
        <v>631.23599999999999</v>
      </c>
      <c r="I41" s="22">
        <f>I$35*Inputs!I16</f>
        <v>0.99</v>
      </c>
      <c r="J41" s="22">
        <f>J$35*Inputs!J16</f>
        <v>10.801600000000001</v>
      </c>
      <c r="K41" s="22">
        <f>K$35*Inputs!K16</f>
        <v>0.13339999999999999</v>
      </c>
      <c r="L41" s="22">
        <f>L$35*Inputs!L16</f>
        <v>2.2879999999999998</v>
      </c>
      <c r="M41" s="22">
        <f>M$35*Inputs!M16</f>
        <v>7.1895999999999995</v>
      </c>
      <c r="N41" s="22">
        <f>N$35*Inputs!N16</f>
        <v>2061.5974999999999</v>
      </c>
      <c r="O41" s="22">
        <f>O$35*Inputs!O16</f>
        <v>159.65040000000002</v>
      </c>
      <c r="P41" s="22">
        <f>P$35*Inputs!P16</f>
        <v>29.954600000000003</v>
      </c>
      <c r="Q41" s="58">
        <f>Q$35*Inputs!Q16</f>
        <v>0</v>
      </c>
      <c r="R41" s="58">
        <f>R$35*Inputs!R16</f>
        <v>0</v>
      </c>
      <c r="S41" s="22">
        <f>S$35*Inputs!S16</f>
        <v>0</v>
      </c>
      <c r="T41" s="22">
        <f>T$35*Inputs!T16</f>
        <v>0</v>
      </c>
      <c r="U41" s="22">
        <f>U$35*Inputs!U16</f>
        <v>0</v>
      </c>
      <c r="V41" s="22">
        <f>V$35*Inputs!V16</f>
        <v>0</v>
      </c>
      <c r="W41" s="22">
        <f>W$35*Inputs!W16</f>
        <v>0</v>
      </c>
      <c r="X41" s="22">
        <f>X$35*Inputs!X16</f>
        <v>0</v>
      </c>
      <c r="Y41" s="22">
        <f>Y$35*Inputs!Y16</f>
        <v>0</v>
      </c>
      <c r="Z41" s="22">
        <f>Z$35*Inputs!Z16</f>
        <v>0</v>
      </c>
      <c r="AA41" s="22">
        <f>AA$35*Inputs!AA16</f>
        <v>0</v>
      </c>
      <c r="AB41" s="22">
        <f>AB$35*Inputs!AB16</f>
        <v>0</v>
      </c>
      <c r="AC41" s="22">
        <f>AC$35*Inputs!AC16</f>
        <v>0</v>
      </c>
      <c r="AE41" s="25">
        <f t="shared" si="30"/>
        <v>2939.2999</v>
      </c>
    </row>
    <row r="42" spans="1:31">
      <c r="B42" s="377"/>
      <c r="C42" s="23" t="s">
        <v>131</v>
      </c>
      <c r="D42" s="23" t="s">
        <v>129</v>
      </c>
      <c r="E42" s="22">
        <f>E$35*Inputs!E17</f>
        <v>1.8230999999999999</v>
      </c>
      <c r="F42" s="22">
        <f>F$35*Inputs!F17</f>
        <v>26.384399999999999</v>
      </c>
      <c r="G42" s="22">
        <f>G$35*Inputs!G17</f>
        <v>14.642100000000001</v>
      </c>
      <c r="H42" s="22">
        <f>H$35*Inputs!H17</f>
        <v>796.74300000000005</v>
      </c>
      <c r="I42" s="22">
        <f>I$35*Inputs!I17</f>
        <v>1.2374999999999998</v>
      </c>
      <c r="J42" s="22">
        <f>J$35*Inputs!J17</f>
        <v>13.5648</v>
      </c>
      <c r="K42" s="22">
        <f>K$35*Inputs!K17</f>
        <v>0.1479</v>
      </c>
      <c r="L42" s="22">
        <f>L$35*Inputs!L17</f>
        <v>2.5376000000000003</v>
      </c>
      <c r="M42" s="22">
        <f>M$35*Inputs!M17</f>
        <v>8.4624000000000006</v>
      </c>
      <c r="N42" s="22">
        <f>N$35*Inputs!N17</f>
        <v>2584.7660999999998</v>
      </c>
      <c r="O42" s="22">
        <f>O$35*Inputs!O17</f>
        <v>200.14779999999999</v>
      </c>
      <c r="P42" s="22">
        <f>P$35*Inputs!P17</f>
        <v>40.183</v>
      </c>
      <c r="Q42" s="58">
        <f>Q$35*Inputs!Q17</f>
        <v>0</v>
      </c>
      <c r="R42" s="58">
        <f>R$35*Inputs!R17</f>
        <v>0</v>
      </c>
      <c r="S42" s="22">
        <f>S$35*Inputs!S17</f>
        <v>0</v>
      </c>
      <c r="T42" s="22">
        <f>T$35*Inputs!T17</f>
        <v>0</v>
      </c>
      <c r="U42" s="22">
        <f>U$35*Inputs!U17</f>
        <v>0</v>
      </c>
      <c r="V42" s="22">
        <f>V$35*Inputs!V17</f>
        <v>0</v>
      </c>
      <c r="W42" s="22">
        <f>W$35*Inputs!W17</f>
        <v>0</v>
      </c>
      <c r="X42" s="22">
        <f>X$35*Inputs!X17</f>
        <v>0</v>
      </c>
      <c r="Y42" s="22">
        <f>Y$35*Inputs!Y17</f>
        <v>0</v>
      </c>
      <c r="Z42" s="22">
        <f>Z$35*Inputs!Z17</f>
        <v>0</v>
      </c>
      <c r="AA42" s="22">
        <f>AA$35*Inputs!AA17</f>
        <v>0</v>
      </c>
      <c r="AB42" s="22">
        <f>AB$35*Inputs!AB17</f>
        <v>0</v>
      </c>
      <c r="AC42" s="22">
        <f>AC$35*Inputs!AC17</f>
        <v>0</v>
      </c>
      <c r="AE42" s="25">
        <f t="shared" si="30"/>
        <v>3690.6397000000002</v>
      </c>
    </row>
    <row r="43" spans="1:31" s="23" customFormat="1">
      <c r="B43" s="377"/>
      <c r="C43" s="23" t="str">
        <f>C12</f>
        <v>Land value</v>
      </c>
      <c r="D43" s="23" t="str">
        <f>D12</f>
        <v>$</v>
      </c>
      <c r="E43" s="58">
        <f>E$35*Inputs!E18</f>
        <v>5041026</v>
      </c>
      <c r="F43" s="58">
        <f>F$35*Inputs!F18</f>
        <v>51242274</v>
      </c>
      <c r="G43" s="58">
        <f>G$35*Inputs!G18</f>
        <v>29465964</v>
      </c>
      <c r="H43" s="58">
        <f>H$35*Inputs!H18</f>
        <v>673882920</v>
      </c>
      <c r="I43" s="58">
        <f>I$35*Inputs!I18</f>
        <v>4486350</v>
      </c>
      <c r="J43" s="58">
        <f>J$35*Inputs!J18</f>
        <v>20490384</v>
      </c>
      <c r="K43" s="58">
        <f>K$35*Inputs!K18</f>
        <v>1420014</v>
      </c>
      <c r="L43" s="58">
        <f>L$35*Inputs!L18</f>
        <v>10184928</v>
      </c>
      <c r="M43" s="58">
        <f>M$35*Inputs!M18</f>
        <v>21411420</v>
      </c>
      <c r="N43" s="58">
        <f>N$35*Inputs!N18</f>
        <v>621765571</v>
      </c>
      <c r="O43" s="58">
        <f>O$35*Inputs!O18</f>
        <v>160751286</v>
      </c>
      <c r="P43" s="58">
        <f>P$35*Inputs!P18</f>
        <v>39035958</v>
      </c>
      <c r="Q43" s="58">
        <f>Q$35*Inputs!Q18</f>
        <v>6006273</v>
      </c>
      <c r="R43" s="58">
        <f>R$35*Inputs!R18</f>
        <v>288258</v>
      </c>
      <c r="S43" s="58">
        <f>S$35*Inputs!S18</f>
        <v>0</v>
      </c>
      <c r="T43" s="58">
        <f>T$35*Inputs!T18</f>
        <v>0</v>
      </c>
      <c r="U43" s="58">
        <f>U$35*Inputs!U18</f>
        <v>3696578844</v>
      </c>
      <c r="V43" s="58">
        <f>V$35*Inputs!V18</f>
        <v>10265016</v>
      </c>
      <c r="W43" s="58">
        <f>W$35*Inputs!W18</f>
        <v>299824009</v>
      </c>
      <c r="X43" s="58">
        <f>X$35*Inputs!X18</f>
        <v>0</v>
      </c>
      <c r="Y43" s="58">
        <f>Y$35*Inputs!Y18</f>
        <v>3336570</v>
      </c>
      <c r="Z43" s="58">
        <f>Z$35*Inputs!Z18</f>
        <v>0</v>
      </c>
      <c r="AA43" s="58">
        <f>AA$35*Inputs!AA18</f>
        <v>0</v>
      </c>
      <c r="AB43" s="58">
        <f>AB$35*Inputs!AB18</f>
        <v>0</v>
      </c>
      <c r="AC43" s="58">
        <f>AC$35*Inputs!AC18</f>
        <v>0</v>
      </c>
      <c r="AE43" s="179">
        <f t="shared" si="30"/>
        <v>5655477065</v>
      </c>
    </row>
    <row r="44" spans="1:31" s="23" customFormat="1">
      <c r="B44" s="377"/>
      <c r="C44" s="23" t="s">
        <v>77</v>
      </c>
      <c r="D44" s="23" t="str">
        <f>D13</f>
        <v>$</v>
      </c>
      <c r="E44" s="58">
        <f>E$35*Inputs!E39</f>
        <v>49211.587200000009</v>
      </c>
      <c r="F44" s="58">
        <f>F$35*Inputs!F39</f>
        <v>703459.93050000002</v>
      </c>
      <c r="G44" s="58">
        <f>G$35*Inputs!G39</f>
        <v>388661.69760000001</v>
      </c>
      <c r="H44" s="58">
        <f>H$35*Inputs!H39</f>
        <v>21167026.375999998</v>
      </c>
      <c r="I44" s="58">
        <f>I$35*Inputs!I39</f>
        <v>28281.33</v>
      </c>
      <c r="J44" s="58">
        <f>J$35*Inputs!J39</f>
        <v>301393.27679999999</v>
      </c>
      <c r="K44" s="58">
        <f>K$35*Inputs!K39</f>
        <v>5104.6379999999999</v>
      </c>
      <c r="L44" s="58">
        <f>L$35*Inputs!L39</f>
        <v>87870.182399999991</v>
      </c>
      <c r="M44" s="58">
        <f>M$35*Inputs!M39</f>
        <v>169235.61600000001</v>
      </c>
      <c r="N44" s="58">
        <f>N$35*Inputs!N39</f>
        <v>33077277.475199997</v>
      </c>
      <c r="O44" s="58">
        <f>O$35*Inputs!O39</f>
        <v>2562020.4959999998</v>
      </c>
      <c r="P44" s="58">
        <f>P$35*Inputs!P39</f>
        <v>231118.00400000002</v>
      </c>
      <c r="Q44" s="58">
        <f>Q$35*Inputs!Q39</f>
        <v>0</v>
      </c>
      <c r="R44" s="58">
        <f>R$35*Inputs!R39</f>
        <v>0</v>
      </c>
      <c r="S44" s="58">
        <f>S$35*Inputs!S39</f>
        <v>0</v>
      </c>
      <c r="T44" s="58">
        <f>T$35*Inputs!T39</f>
        <v>0</v>
      </c>
      <c r="U44" s="58">
        <f>U$35*Inputs!U39</f>
        <v>0</v>
      </c>
      <c r="V44" s="58">
        <f>V$35*Inputs!V39</f>
        <v>0</v>
      </c>
      <c r="W44" s="58">
        <f>W$35*Inputs!W39</f>
        <v>0</v>
      </c>
      <c r="X44" s="58">
        <f>X$35*Inputs!X39</f>
        <v>0</v>
      </c>
      <c r="Y44" s="58">
        <f>Y$35*Inputs!Y39</f>
        <v>0</v>
      </c>
      <c r="Z44" s="58">
        <f>Z$35*Inputs!Z39</f>
        <v>0</v>
      </c>
      <c r="AA44" s="58">
        <f>AA$35*Inputs!AA39</f>
        <v>0</v>
      </c>
      <c r="AB44" s="58">
        <f>AB$35*Inputs!AB39</f>
        <v>0</v>
      </c>
      <c r="AC44" s="58">
        <f>AC$35*Inputs!AC39</f>
        <v>0</v>
      </c>
      <c r="AE44" s="57">
        <f>SUM(E44:AC44)</f>
        <v>58770660.609699994</v>
      </c>
    </row>
    <row r="45" spans="1:31" ht="15" customHeight="1">
      <c r="B45" s="376" t="str">
        <f>B14</f>
        <v>Environmental</v>
      </c>
      <c r="C45" t="str">
        <f>C14</f>
        <v>N loss</v>
      </c>
      <c r="D45" t="str">
        <f>D14</f>
        <v>kg</v>
      </c>
      <c r="E45" s="22">
        <f>E$35*Inputs!E20</f>
        <v>7416</v>
      </c>
      <c r="F45" s="22">
        <f>F$35*Inputs!F20</f>
        <v>75384</v>
      </c>
      <c r="G45" s="22">
        <f>G$35*Inputs!G20</f>
        <v>34221</v>
      </c>
      <c r="H45" s="22">
        <f>H$35*Inputs!H20</f>
        <v>782630</v>
      </c>
      <c r="I45" s="22">
        <f>I$35*Inputs!I20</f>
        <v>7700</v>
      </c>
      <c r="J45" s="22">
        <f>J$35*Inputs!J20</f>
        <v>35168</v>
      </c>
      <c r="K45" s="22">
        <f>K$35*Inputs!K20</f>
        <v>725</v>
      </c>
      <c r="L45" s="22">
        <f>L$35*Inputs!L20</f>
        <v>5200</v>
      </c>
      <c r="M45" s="22">
        <f>M$35*Inputs!M20</f>
        <v>9976</v>
      </c>
      <c r="N45" s="22">
        <f>N$35*Inputs!N20</f>
        <v>61175</v>
      </c>
      <c r="O45" s="22">
        <f>O$35*Inputs!O20</f>
        <v>19737</v>
      </c>
      <c r="P45" s="22">
        <f>P$35*Inputs!P20</f>
        <v>29954.6</v>
      </c>
      <c r="Q45" s="58">
        <f>Q$35*Inputs!Q20</f>
        <v>17836</v>
      </c>
      <c r="R45" s="58">
        <f>R$35*Inputs!R20</f>
        <v>856</v>
      </c>
      <c r="S45" s="22">
        <f>S$35*Inputs!S20</f>
        <v>0</v>
      </c>
      <c r="T45" s="22">
        <f>T$35*Inputs!T20</f>
        <v>0</v>
      </c>
      <c r="U45" s="22">
        <f>U$35*Inputs!U20</f>
        <v>0</v>
      </c>
      <c r="V45" s="22">
        <f>V$35*Inputs!V20</f>
        <v>0</v>
      </c>
      <c r="W45" s="22">
        <f>W$35*Inputs!W20</f>
        <v>0</v>
      </c>
      <c r="X45" s="22">
        <f>X$35*Inputs!X20</f>
        <v>0</v>
      </c>
      <c r="Y45" s="22">
        <f>Y$35*Inputs!Y20</f>
        <v>0</v>
      </c>
      <c r="Z45" s="22">
        <f>Z$35*Inputs!Z20</f>
        <v>0</v>
      </c>
      <c r="AA45" s="22">
        <f>AA$35*Inputs!AA20</f>
        <v>0</v>
      </c>
      <c r="AB45" s="22">
        <f>AB$35*Inputs!AB20</f>
        <v>0</v>
      </c>
      <c r="AC45" s="22">
        <f>AC$35*Inputs!AC20</f>
        <v>0</v>
      </c>
      <c r="AE45" s="26">
        <f t="shared" si="30"/>
        <v>1087978.6000000001</v>
      </c>
    </row>
    <row r="46" spans="1:31">
      <c r="B46" s="376"/>
      <c r="C46" t="str">
        <f t="shared" ref="C46:C62" si="31">C15</f>
        <v>P loss</v>
      </c>
      <c r="D46" t="str">
        <f>D15</f>
        <v>kg</v>
      </c>
      <c r="E46" s="22">
        <f>E$35*Inputs!E21</f>
        <v>834.30000000000007</v>
      </c>
      <c r="F46" s="22">
        <f>F$35*Inputs!F21</f>
        <v>8480.7000000000007</v>
      </c>
      <c r="G46" s="22">
        <f>G$35*Inputs!G21</f>
        <v>1907.3999999999999</v>
      </c>
      <c r="H46" s="22">
        <f>H$35*Inputs!H21</f>
        <v>43622</v>
      </c>
      <c r="I46" s="22">
        <f>I$35*Inputs!I21</f>
        <v>550</v>
      </c>
      <c r="J46" s="22">
        <f>J$35*Inputs!J21</f>
        <v>2512</v>
      </c>
      <c r="K46" s="22">
        <f>K$35*Inputs!K21</f>
        <v>34.799999999999997</v>
      </c>
      <c r="L46" s="22">
        <f>L$35*Inputs!L21</f>
        <v>249.6</v>
      </c>
      <c r="M46" s="22">
        <f>M$35*Inputs!M21</f>
        <v>412.8</v>
      </c>
      <c r="N46" s="22">
        <f>N$35*Inputs!N21</f>
        <v>1223.5</v>
      </c>
      <c r="O46" s="22">
        <f>O$35*Inputs!O21</f>
        <v>365.5</v>
      </c>
      <c r="P46" s="22">
        <f>P$35*Inputs!P21</f>
        <v>730.6</v>
      </c>
      <c r="Q46" s="58">
        <f>Q$35*Inputs!Q21</f>
        <v>445.90000000000003</v>
      </c>
      <c r="R46" s="58">
        <f>R$35*Inputs!R21</f>
        <v>21.400000000000002</v>
      </c>
      <c r="S46" s="22">
        <f>S$35*Inputs!S21</f>
        <v>0</v>
      </c>
      <c r="T46" s="22">
        <f>T$35*Inputs!T21</f>
        <v>0</v>
      </c>
      <c r="U46" s="22">
        <f>U$35*Inputs!U21</f>
        <v>0</v>
      </c>
      <c r="V46" s="22">
        <f>V$35*Inputs!V21</f>
        <v>0</v>
      </c>
      <c r="W46" s="22">
        <f>W$35*Inputs!W21</f>
        <v>0</v>
      </c>
      <c r="X46" s="22">
        <f>X$35*Inputs!X21</f>
        <v>0</v>
      </c>
      <c r="Y46" s="22">
        <f>Y$35*Inputs!Y21</f>
        <v>0</v>
      </c>
      <c r="Z46" s="22">
        <f>Z$35*Inputs!Z21</f>
        <v>0</v>
      </c>
      <c r="AA46" s="22">
        <f>AA$35*Inputs!AA21</f>
        <v>0</v>
      </c>
      <c r="AB46" s="22">
        <f>AB$35*Inputs!AB21</f>
        <v>0</v>
      </c>
      <c r="AC46" s="22">
        <f>AC$35*Inputs!AC21</f>
        <v>0</v>
      </c>
      <c r="AE46" s="26">
        <f>SUM(E46:AC46)</f>
        <v>61390.500000000007</v>
      </c>
    </row>
    <row r="47" spans="1:31" s="23" customFormat="1">
      <c r="B47" s="376"/>
      <c r="C47" s="23" t="str">
        <f t="shared" si="31"/>
        <v>Sediment loss</v>
      </c>
      <c r="D47" s="23" t="str">
        <f>D16</f>
        <v>Scoring</v>
      </c>
      <c r="E47" s="58">
        <f>E$35*Inputs!E22</f>
        <v>927</v>
      </c>
      <c r="F47" s="58">
        <f>F$35*Inputs!F22</f>
        <v>15705</v>
      </c>
      <c r="G47" s="58">
        <f>G$35*Inputs!G22</f>
        <v>1122</v>
      </c>
      <c r="H47" s="58">
        <f>H$35*Inputs!H22</f>
        <v>51320</v>
      </c>
      <c r="I47" s="58">
        <f>I$35*Inputs!I22</f>
        <v>550</v>
      </c>
      <c r="J47" s="58">
        <f>J$35*Inputs!J22</f>
        <v>5024</v>
      </c>
      <c r="K47" s="58">
        <f>K$35*Inputs!K22</f>
        <v>87</v>
      </c>
      <c r="L47" s="58">
        <f>L$35*Inputs!L22</f>
        <v>1040</v>
      </c>
      <c r="M47" s="58">
        <f>M$35*Inputs!M22</f>
        <v>344</v>
      </c>
      <c r="N47" s="58">
        <f>N$35*Inputs!N22</f>
        <v>17129</v>
      </c>
      <c r="O47" s="58">
        <f>O$35*Inputs!O22</f>
        <v>5848</v>
      </c>
      <c r="P47" s="58">
        <f>P$35*Inputs!P22</f>
        <v>58448</v>
      </c>
      <c r="Q47" s="58">
        <f>Q$35*Inputs!Q22</f>
        <v>40131</v>
      </c>
      <c r="R47" s="58">
        <f>R$35*Inputs!R22</f>
        <v>2140</v>
      </c>
      <c r="S47" s="58">
        <f>S$35*Inputs!S22</f>
        <v>0</v>
      </c>
      <c r="T47" s="58">
        <f>T$35*Inputs!T22</f>
        <v>1790</v>
      </c>
      <c r="U47" s="58">
        <f>U$35*Inputs!U22</f>
        <v>2436</v>
      </c>
      <c r="V47" s="58">
        <f>V$35*Inputs!V22</f>
        <v>96</v>
      </c>
      <c r="W47" s="58">
        <f>W$35*Inputs!W22</f>
        <v>4206</v>
      </c>
      <c r="X47" s="58">
        <f>X$35*Inputs!X22</f>
        <v>0</v>
      </c>
      <c r="Y47" s="58">
        <f>Y$35*Inputs!Y22</f>
        <v>0</v>
      </c>
      <c r="Z47" s="58">
        <f>Z$35*Inputs!Z22</f>
        <v>1160</v>
      </c>
      <c r="AA47" s="58">
        <f>AA$35*Inputs!AA22</f>
        <v>0</v>
      </c>
      <c r="AB47" s="58">
        <f>AB$35*Inputs!AB22</f>
        <v>0</v>
      </c>
      <c r="AC47" s="58">
        <f>AC$35*Inputs!AC22</f>
        <v>0</v>
      </c>
      <c r="AE47" s="134">
        <f t="shared" si="30"/>
        <v>209503</v>
      </c>
    </row>
    <row r="48" spans="1:31">
      <c r="B48" s="376"/>
      <c r="C48" t="str">
        <f t="shared" si="31"/>
        <v>E.coli loss</v>
      </c>
      <c r="D48" t="s">
        <v>84</v>
      </c>
      <c r="E48" s="22">
        <f>E$35*Inputs!E23</f>
        <v>618</v>
      </c>
      <c r="F48" s="22">
        <f>F$35*Inputs!F23</f>
        <v>12564</v>
      </c>
      <c r="G48" s="22">
        <f>G$35*Inputs!G23</f>
        <v>1122</v>
      </c>
      <c r="H48" s="22">
        <f>H$35*Inputs!H23</f>
        <v>25660</v>
      </c>
      <c r="I48" s="22">
        <f>I$35*Inputs!I23</f>
        <v>550</v>
      </c>
      <c r="J48" s="22">
        <f>J$35*Inputs!J23</f>
        <v>2512</v>
      </c>
      <c r="K48" s="22">
        <f>K$35*Inputs!K23</f>
        <v>116</v>
      </c>
      <c r="L48" s="22">
        <f>L$35*Inputs!L23</f>
        <v>832</v>
      </c>
      <c r="M48" s="22">
        <f>M$35*Inputs!M23</f>
        <v>1032</v>
      </c>
      <c r="N48" s="22">
        <f>N$35*Inputs!N23</f>
        <v>14682</v>
      </c>
      <c r="O48" s="22">
        <f>O$35*Inputs!O23</f>
        <v>4386</v>
      </c>
      <c r="P48" s="22">
        <f>P$35*Inputs!P23</f>
        <v>29224</v>
      </c>
      <c r="Q48" s="58">
        <f>Q$35*Inputs!Q23</f>
        <v>35672</v>
      </c>
      <c r="R48" s="58">
        <f>R$35*Inputs!R23</f>
        <v>1712</v>
      </c>
      <c r="S48" s="22">
        <f>S$35*Inputs!S23</f>
        <v>0</v>
      </c>
      <c r="T48" s="22">
        <f>T$35*Inputs!T23</f>
        <v>1074</v>
      </c>
      <c r="U48" s="22">
        <f>U$35*Inputs!U23</f>
        <v>2436</v>
      </c>
      <c r="V48" s="22">
        <f>V$35*Inputs!V23</f>
        <v>96</v>
      </c>
      <c r="W48" s="22">
        <f>W$35*Inputs!W23</f>
        <v>2804</v>
      </c>
      <c r="X48" s="22">
        <f>X$35*Inputs!X23</f>
        <v>0</v>
      </c>
      <c r="Y48" s="22">
        <f>Y$35*Inputs!Y23</f>
        <v>0</v>
      </c>
      <c r="Z48" s="22">
        <f>Z$35*Inputs!Z23</f>
        <v>1160</v>
      </c>
      <c r="AA48" s="22">
        <f>AA$35*Inputs!AA23</f>
        <v>0</v>
      </c>
      <c r="AB48" s="22">
        <f>AB$35*Inputs!AB23</f>
        <v>0</v>
      </c>
      <c r="AC48" s="22">
        <f>AC$35*Inputs!AC23</f>
        <v>0</v>
      </c>
      <c r="AE48" s="26">
        <f>SUM(E48:AC48)</f>
        <v>138252</v>
      </c>
    </row>
    <row r="49" spans="2:31">
      <c r="B49" s="376"/>
      <c r="C49" t="str">
        <f t="shared" si="31"/>
        <v>River water quality</v>
      </c>
      <c r="D49" t="str">
        <f t="shared" ref="D49:D62" si="32">D18</f>
        <v>Scoring</v>
      </c>
      <c r="E49" s="22">
        <f>E$35*Inputs!E24</f>
        <v>1236</v>
      </c>
      <c r="F49" s="22">
        <f>F$35*Inputs!F24</f>
        <v>12564</v>
      </c>
      <c r="G49" s="22">
        <f>G$35*Inputs!G24</f>
        <v>1122</v>
      </c>
      <c r="H49" s="22">
        <f>H$35*Inputs!H24</f>
        <v>51320</v>
      </c>
      <c r="I49" s="22">
        <f>I$35*Inputs!I24</f>
        <v>550</v>
      </c>
      <c r="J49" s="22">
        <f>J$35*Inputs!J24</f>
        <v>5024</v>
      </c>
      <c r="K49" s="22">
        <f>K$35*Inputs!K24</f>
        <v>58</v>
      </c>
      <c r="L49" s="22">
        <f>L$35*Inputs!L24</f>
        <v>832</v>
      </c>
      <c r="M49" s="22">
        <f>M$35*Inputs!M24</f>
        <v>688</v>
      </c>
      <c r="N49" s="22">
        <f>N$35*Inputs!N24</f>
        <v>9788</v>
      </c>
      <c r="O49" s="22">
        <f>O$35*Inputs!O24</f>
        <v>2924</v>
      </c>
      <c r="P49" s="22">
        <f>P$35*Inputs!P24</f>
        <v>58448</v>
      </c>
      <c r="Q49" s="58">
        <f>Q$35*Inputs!Q24</f>
        <v>44590</v>
      </c>
      <c r="R49" s="58">
        <f>R$35*Inputs!R24</f>
        <v>2140</v>
      </c>
      <c r="S49" s="22">
        <f>S$35*Inputs!S24</f>
        <v>0</v>
      </c>
      <c r="T49" s="22">
        <f>T$35*Inputs!T24</f>
        <v>1432</v>
      </c>
      <c r="U49" s="22">
        <f>U$35*Inputs!U24</f>
        <v>2436</v>
      </c>
      <c r="V49" s="22">
        <f>V$35*Inputs!V24</f>
        <v>48</v>
      </c>
      <c r="W49" s="22">
        <f>W$35*Inputs!W24</f>
        <v>2804</v>
      </c>
      <c r="X49" s="22">
        <f>X$35*Inputs!X24</f>
        <v>0</v>
      </c>
      <c r="Y49" s="22">
        <f>Y$35*Inputs!Y24</f>
        <v>0</v>
      </c>
      <c r="Z49" s="22">
        <f>Z$35*Inputs!Z24</f>
        <v>1450</v>
      </c>
      <c r="AA49" s="22">
        <f>AA$35*Inputs!AA24</f>
        <v>0</v>
      </c>
      <c r="AB49" s="22">
        <f>AB$35*Inputs!AB24</f>
        <v>0</v>
      </c>
      <c r="AC49" s="22">
        <f>AC$35*Inputs!AC24</f>
        <v>0</v>
      </c>
      <c r="AE49" s="26">
        <f t="shared" si="30"/>
        <v>199454</v>
      </c>
    </row>
    <row r="50" spans="2:31">
      <c r="B50" s="376"/>
      <c r="C50" t="str">
        <f t="shared" si="31"/>
        <v>Freshwater invertebrates</v>
      </c>
      <c r="D50" t="str">
        <f t="shared" si="32"/>
        <v>Scoring</v>
      </c>
      <c r="E50" s="22">
        <f>E$35*Inputs!E25</f>
        <v>1236</v>
      </c>
      <c r="F50" s="22">
        <f>F$35*Inputs!F25</f>
        <v>18846</v>
      </c>
      <c r="G50" s="22">
        <f>G$35*Inputs!G25</f>
        <v>2244</v>
      </c>
      <c r="H50" s="22">
        <f>H$35*Inputs!H25</f>
        <v>51320</v>
      </c>
      <c r="I50" s="22">
        <f>I$35*Inputs!I25</f>
        <v>1100</v>
      </c>
      <c r="J50" s="22">
        <f>J$35*Inputs!J25</f>
        <v>5024</v>
      </c>
      <c r="K50" s="22">
        <f>K$35*Inputs!K25</f>
        <v>116</v>
      </c>
      <c r="L50" s="22">
        <f>L$35*Inputs!L25</f>
        <v>832</v>
      </c>
      <c r="M50" s="22">
        <f>M$35*Inputs!M25</f>
        <v>688</v>
      </c>
      <c r="N50" s="22">
        <f>N$35*Inputs!N25</f>
        <v>14682</v>
      </c>
      <c r="O50" s="22">
        <f>O$35*Inputs!O25</f>
        <v>4386</v>
      </c>
      <c r="P50" s="22">
        <f>P$35*Inputs!P25</f>
        <v>58448</v>
      </c>
      <c r="Q50" s="58">
        <f>Q$35*Inputs!Q25</f>
        <v>44590</v>
      </c>
      <c r="R50" s="58">
        <f>R$35*Inputs!R25</f>
        <v>2140</v>
      </c>
      <c r="S50" s="22">
        <f>S$35*Inputs!S25</f>
        <v>0</v>
      </c>
      <c r="T50" s="22">
        <f>T$35*Inputs!T25</f>
        <v>1790</v>
      </c>
      <c r="U50" s="22">
        <f>U$35*Inputs!U25</f>
        <v>1218</v>
      </c>
      <c r="V50" s="22">
        <f>V$35*Inputs!V25</f>
        <v>144</v>
      </c>
      <c r="W50" s="22">
        <f>W$35*Inputs!W25</f>
        <v>4206</v>
      </c>
      <c r="X50" s="22">
        <f>X$35*Inputs!X25</f>
        <v>0</v>
      </c>
      <c r="Y50" s="22">
        <f>Y$35*Inputs!Y25</f>
        <v>0</v>
      </c>
      <c r="Z50" s="22">
        <f>Z$35*Inputs!Z25</f>
        <v>1160</v>
      </c>
      <c r="AA50" s="22">
        <f>AA$35*Inputs!AA25</f>
        <v>0</v>
      </c>
      <c r="AB50" s="22">
        <f>AB$35*Inputs!AB25</f>
        <v>0</v>
      </c>
      <c r="AC50" s="22">
        <f>AC$35*Inputs!AC25</f>
        <v>0</v>
      </c>
      <c r="AE50" s="26">
        <f t="shared" si="30"/>
        <v>214170</v>
      </c>
    </row>
    <row r="51" spans="2:31">
      <c r="B51" s="376"/>
      <c r="C51" t="str">
        <f t="shared" si="31"/>
        <v>Estuarine health</v>
      </c>
      <c r="D51" t="str">
        <f t="shared" si="32"/>
        <v>Scoring</v>
      </c>
      <c r="E51" s="22">
        <f>E$35*Inputs!E26</f>
        <v>1236</v>
      </c>
      <c r="F51" s="22">
        <f>F$35*Inputs!F26</f>
        <v>18846</v>
      </c>
      <c r="G51" s="22">
        <f>G$35*Inputs!G26</f>
        <v>1122</v>
      </c>
      <c r="H51" s="22">
        <f>H$35*Inputs!H26</f>
        <v>51320</v>
      </c>
      <c r="I51" s="22">
        <f>I$35*Inputs!I26</f>
        <v>550</v>
      </c>
      <c r="J51" s="22">
        <f>J$35*Inputs!J26</f>
        <v>5024</v>
      </c>
      <c r="K51" s="22">
        <f>K$35*Inputs!K26</f>
        <v>116</v>
      </c>
      <c r="L51" s="22">
        <f>L$35*Inputs!L26</f>
        <v>1248</v>
      </c>
      <c r="M51" s="22">
        <f>M$35*Inputs!M26</f>
        <v>344</v>
      </c>
      <c r="N51" s="22">
        <f>N$35*Inputs!N26</f>
        <v>14682</v>
      </c>
      <c r="O51" s="22">
        <f>O$35*Inputs!O26</f>
        <v>5848</v>
      </c>
      <c r="P51" s="22">
        <f>P$35*Inputs!P26</f>
        <v>58448</v>
      </c>
      <c r="Q51" s="58">
        <f>Q$35*Inputs!Q26</f>
        <v>44590</v>
      </c>
      <c r="R51" s="58">
        <f>R$35*Inputs!R26</f>
        <v>2140</v>
      </c>
      <c r="S51" s="22">
        <f>S$35*Inputs!S26</f>
        <v>0</v>
      </c>
      <c r="T51" s="22">
        <f>T$35*Inputs!T26</f>
        <v>1790</v>
      </c>
      <c r="U51" s="22">
        <f>U$35*Inputs!U26</f>
        <v>2436</v>
      </c>
      <c r="V51" s="22">
        <f>V$35*Inputs!V26</f>
        <v>96</v>
      </c>
      <c r="W51" s="22">
        <f>W$35*Inputs!W26</f>
        <v>4206</v>
      </c>
      <c r="X51" s="22">
        <f>X$35*Inputs!X26</f>
        <v>0</v>
      </c>
      <c r="Y51" s="22">
        <f>Y$35*Inputs!Y26</f>
        <v>0</v>
      </c>
      <c r="Z51" s="22">
        <f>Z$35*Inputs!Z26</f>
        <v>1160</v>
      </c>
      <c r="AA51" s="22">
        <f>AA$35*Inputs!AA26</f>
        <v>0</v>
      </c>
      <c r="AB51" s="22">
        <f>AB$35*Inputs!AB26</f>
        <v>0</v>
      </c>
      <c r="AC51" s="22">
        <f>AC$35*Inputs!AC26</f>
        <v>0</v>
      </c>
      <c r="AE51" s="26">
        <f t="shared" si="30"/>
        <v>215202</v>
      </c>
    </row>
    <row r="52" spans="2:31">
      <c r="B52" s="376"/>
      <c r="C52" t="str">
        <f t="shared" si="31"/>
        <v>Groundwater quality</v>
      </c>
      <c r="D52" t="str">
        <f t="shared" si="32"/>
        <v>Scoring</v>
      </c>
      <c r="E52" s="22">
        <f>E$35*Inputs!E27</f>
        <v>1236</v>
      </c>
      <c r="F52" s="22">
        <f>F$35*Inputs!F27</f>
        <v>12564</v>
      </c>
      <c r="G52" s="22">
        <f>G$35*Inputs!G27</f>
        <v>2244</v>
      </c>
      <c r="H52" s="22">
        <f>H$35*Inputs!H27</f>
        <v>25660</v>
      </c>
      <c r="I52" s="22">
        <f>I$35*Inputs!I27</f>
        <v>1100</v>
      </c>
      <c r="J52" s="22">
        <f>J$35*Inputs!J27</f>
        <v>2512</v>
      </c>
      <c r="K52" s="22">
        <f>K$35*Inputs!K27</f>
        <v>116</v>
      </c>
      <c r="L52" s="22">
        <f>L$35*Inputs!L27</f>
        <v>832</v>
      </c>
      <c r="M52" s="22">
        <f>M$35*Inputs!M27</f>
        <v>344</v>
      </c>
      <c r="N52" s="22">
        <f>N$35*Inputs!N27</f>
        <v>9788</v>
      </c>
      <c r="O52" s="22">
        <f>O$35*Inputs!O27</f>
        <v>2924</v>
      </c>
      <c r="P52" s="22">
        <f>P$35*Inputs!P27</f>
        <v>58448</v>
      </c>
      <c r="Q52" s="58">
        <f>Q$35*Inputs!Q27</f>
        <v>44590</v>
      </c>
      <c r="R52" s="58">
        <f>R$35*Inputs!R27</f>
        <v>2140</v>
      </c>
      <c r="S52" s="22">
        <f>S$35*Inputs!S27</f>
        <v>0</v>
      </c>
      <c r="T52" s="22">
        <f>T$35*Inputs!T27</f>
        <v>1790</v>
      </c>
      <c r="U52" s="22">
        <f>U$35*Inputs!U27</f>
        <v>2436</v>
      </c>
      <c r="V52" s="22">
        <f>V$35*Inputs!V27</f>
        <v>96</v>
      </c>
      <c r="W52" s="22">
        <f>W$35*Inputs!W27</f>
        <v>2804</v>
      </c>
      <c r="X52" s="22">
        <f>X$35*Inputs!X27</f>
        <v>636</v>
      </c>
      <c r="Y52" s="22">
        <f>Y$35*Inputs!Y27</f>
        <v>180</v>
      </c>
      <c r="Z52" s="22">
        <f>Z$35*Inputs!Z27</f>
        <v>1160</v>
      </c>
      <c r="AA52" s="22">
        <f>AA$35*Inputs!AA27</f>
        <v>0</v>
      </c>
      <c r="AB52" s="22">
        <f>AB$35*Inputs!AB27</f>
        <v>0</v>
      </c>
      <c r="AC52" s="22">
        <f>AC$35*Inputs!AC27</f>
        <v>0</v>
      </c>
      <c r="AE52" s="26">
        <f t="shared" si="30"/>
        <v>173600</v>
      </c>
    </row>
    <row r="53" spans="2:31">
      <c r="B53" s="376"/>
      <c r="C53" t="str">
        <f t="shared" si="31"/>
        <v>Pressure on water quantity</v>
      </c>
      <c r="D53" t="str">
        <f t="shared" si="32"/>
        <v>Scoring</v>
      </c>
      <c r="E53" s="22">
        <f>E$35*Inputs!E28</f>
        <v>3090</v>
      </c>
      <c r="F53" s="22">
        <f>F$35*Inputs!F28</f>
        <v>31410</v>
      </c>
      <c r="G53" s="22">
        <f>G$35*Inputs!G28</f>
        <v>5049</v>
      </c>
      <c r="H53" s="22">
        <f>H$35*Inputs!H28</f>
        <v>115470</v>
      </c>
      <c r="I53" s="22">
        <f>I$35*Inputs!I28</f>
        <v>2750</v>
      </c>
      <c r="J53" s="22">
        <f>J$35*Inputs!J28</f>
        <v>12560</v>
      </c>
      <c r="K53" s="22">
        <f>K$35*Inputs!K28</f>
        <v>290</v>
      </c>
      <c r="L53" s="22">
        <f>L$35*Inputs!L28</f>
        <v>2080</v>
      </c>
      <c r="M53" s="22">
        <f>M$35*Inputs!M28</f>
        <v>1720</v>
      </c>
      <c r="N53" s="22">
        <f>N$35*Inputs!N28</f>
        <v>19576</v>
      </c>
      <c r="O53" s="22">
        <f>O$35*Inputs!O28</f>
        <v>5848</v>
      </c>
      <c r="P53" s="22">
        <f>P$35*Inputs!P28</f>
        <v>73060</v>
      </c>
      <c r="Q53" s="22">
        <f>Q$35*Inputs!Q28</f>
        <v>44590</v>
      </c>
      <c r="R53" s="22">
        <f>R$35*Inputs!R28</f>
        <v>2140</v>
      </c>
      <c r="S53" s="22">
        <f>S$35*Inputs!S28</f>
        <v>0</v>
      </c>
      <c r="T53" s="22">
        <f>T$35*Inputs!T28</f>
        <v>1790</v>
      </c>
      <c r="U53" s="22">
        <f>U$35*Inputs!U28</f>
        <v>4872</v>
      </c>
      <c r="V53" s="22">
        <f>V$35*Inputs!V28</f>
        <v>240</v>
      </c>
      <c r="W53" s="22">
        <f>W$35*Inputs!W28</f>
        <v>7010</v>
      </c>
      <c r="X53" s="22">
        <f>X$35*Inputs!X28</f>
        <v>0</v>
      </c>
      <c r="Y53" s="22">
        <f>Y$35*Inputs!Y28</f>
        <v>300</v>
      </c>
      <c r="Z53" s="22">
        <f>Z$35*Inputs!Z28</f>
        <v>1450</v>
      </c>
      <c r="AA53" s="22">
        <f>AA$35*Inputs!AA28</f>
        <v>0</v>
      </c>
      <c r="AB53" s="22">
        <f>AB$35*Inputs!AB28</f>
        <v>0</v>
      </c>
      <c r="AC53" s="22">
        <f>AC$35*Inputs!AC28</f>
        <v>0</v>
      </c>
      <c r="AE53" s="26">
        <f>SUM(E53:AC53)</f>
        <v>335295</v>
      </c>
    </row>
    <row r="54" spans="2:31">
      <c r="B54" s="376"/>
      <c r="C54" t="str">
        <f t="shared" si="31"/>
        <v>Soil quality</v>
      </c>
      <c r="D54" t="str">
        <f t="shared" si="32"/>
        <v>Scoring</v>
      </c>
      <c r="E54" s="22">
        <f>E$35*Inputs!E29</f>
        <v>2472</v>
      </c>
      <c r="F54" s="22">
        <f>F$35*Inputs!F29</f>
        <v>25128</v>
      </c>
      <c r="G54" s="22">
        <f>G$35*Inputs!G29</f>
        <v>3927</v>
      </c>
      <c r="H54" s="22">
        <f>H$35*Inputs!H29</f>
        <v>89810</v>
      </c>
      <c r="I54" s="22">
        <f>I$35*Inputs!I29</f>
        <v>1925</v>
      </c>
      <c r="J54" s="22">
        <f>J$35*Inputs!J29</f>
        <v>8792</v>
      </c>
      <c r="K54" s="22">
        <f>K$35*Inputs!K29</f>
        <v>232</v>
      </c>
      <c r="L54" s="22">
        <f>L$35*Inputs!L29</f>
        <v>1664</v>
      </c>
      <c r="M54" s="22">
        <f>M$35*Inputs!M29</f>
        <v>516</v>
      </c>
      <c r="N54" s="22">
        <f>N$35*Inputs!N29</f>
        <v>14682</v>
      </c>
      <c r="O54" s="22">
        <f>O$35*Inputs!O29</f>
        <v>4386</v>
      </c>
      <c r="P54" s="22">
        <f>P$35*Inputs!P29</f>
        <v>65754</v>
      </c>
      <c r="Q54" s="58">
        <f>Q$35*Inputs!Q29</f>
        <v>44590</v>
      </c>
      <c r="R54" s="58">
        <f>R$35*Inputs!R29</f>
        <v>2140</v>
      </c>
      <c r="S54" s="22">
        <f>S$35*Inputs!S29</f>
        <v>0</v>
      </c>
      <c r="T54" s="22">
        <f>T$35*Inputs!T29</f>
        <v>1790</v>
      </c>
      <c r="U54" s="22">
        <f>U$35*Inputs!U29</f>
        <v>609</v>
      </c>
      <c r="V54" s="22">
        <f>V$35*Inputs!V29</f>
        <v>120</v>
      </c>
      <c r="W54" s="22">
        <f>W$35*Inputs!W29</f>
        <v>3505</v>
      </c>
      <c r="X54" s="22">
        <f>X$35*Inputs!X29</f>
        <v>0</v>
      </c>
      <c r="Y54" s="22">
        <f>Y$35*Inputs!Y29</f>
        <v>0</v>
      </c>
      <c r="Z54" s="22">
        <f>Z$35*Inputs!Z29</f>
        <v>1305</v>
      </c>
      <c r="AA54" s="22">
        <f>AA$35*Inputs!AA29</f>
        <v>0</v>
      </c>
      <c r="AB54" s="22">
        <f>AB$35*Inputs!AB29</f>
        <v>0</v>
      </c>
      <c r="AC54" s="22">
        <f>AC$35*Inputs!AC29</f>
        <v>0</v>
      </c>
      <c r="AE54" s="26">
        <f t="shared" si="30"/>
        <v>273347</v>
      </c>
    </row>
    <row r="55" spans="2:31">
      <c r="B55" s="376"/>
      <c r="C55" t="str">
        <f t="shared" si="31"/>
        <v>Biodiversity</v>
      </c>
      <c r="D55" t="str">
        <f t="shared" si="32"/>
        <v>Scoring</v>
      </c>
      <c r="E55" s="22">
        <f>E$35*Inputs!E30</f>
        <v>1236</v>
      </c>
      <c r="F55" s="22">
        <f>F$35*Inputs!F30</f>
        <v>12564</v>
      </c>
      <c r="G55" s="22">
        <f>G$35*Inputs!G30</f>
        <v>1683</v>
      </c>
      <c r="H55" s="22">
        <f>H$35*Inputs!H30</f>
        <v>38490</v>
      </c>
      <c r="I55" s="22">
        <f>I$35*Inputs!I30</f>
        <v>1100</v>
      </c>
      <c r="J55" s="22">
        <f>J$35*Inputs!J30</f>
        <v>5024</v>
      </c>
      <c r="K55" s="22">
        <f>K$35*Inputs!K30</f>
        <v>116</v>
      </c>
      <c r="L55" s="22">
        <f>L$35*Inputs!L30</f>
        <v>832</v>
      </c>
      <c r="M55" s="22">
        <f>M$35*Inputs!M30</f>
        <v>344</v>
      </c>
      <c r="N55" s="22">
        <f>N$35*Inputs!N30</f>
        <v>7341</v>
      </c>
      <c r="O55" s="22">
        <f>O$35*Inputs!O30</f>
        <v>2193</v>
      </c>
      <c r="P55" s="22">
        <f>P$35*Inputs!P30</f>
        <v>51142</v>
      </c>
      <c r="Q55" s="58">
        <f>Q$35*Inputs!Q30</f>
        <v>44590</v>
      </c>
      <c r="R55" s="58">
        <f>R$35*Inputs!R30</f>
        <v>2140</v>
      </c>
      <c r="S55" s="22">
        <f>S$35*Inputs!S30</f>
        <v>0</v>
      </c>
      <c r="T55" s="22">
        <f>T$35*Inputs!T30</f>
        <v>1790</v>
      </c>
      <c r="U55" s="22">
        <f>U$35*Inputs!U30</f>
        <v>609</v>
      </c>
      <c r="V55" s="22">
        <f>V$35*Inputs!V30</f>
        <v>120</v>
      </c>
      <c r="W55" s="22">
        <f>W$35*Inputs!W30</f>
        <v>3505</v>
      </c>
      <c r="X55" s="22">
        <f>X$35*Inputs!X30</f>
        <v>1060</v>
      </c>
      <c r="Y55" s="22">
        <f>Y$35*Inputs!Y30</f>
        <v>0</v>
      </c>
      <c r="Z55" s="22">
        <f>Z$35*Inputs!Z30</f>
        <v>1160</v>
      </c>
      <c r="AA55" s="22">
        <f>AA$35*Inputs!AA30</f>
        <v>0</v>
      </c>
      <c r="AB55" s="22">
        <f>AB$35*Inputs!AB30</f>
        <v>0</v>
      </c>
      <c r="AC55" s="22">
        <f>AC$35*Inputs!AC30</f>
        <v>0</v>
      </c>
      <c r="AE55" s="26">
        <f t="shared" si="30"/>
        <v>177039</v>
      </c>
    </row>
    <row r="56" spans="2:31">
      <c r="B56" s="376"/>
      <c r="C56" t="str">
        <f t="shared" si="31"/>
        <v>GHG emissions</v>
      </c>
      <c r="D56" t="str">
        <f t="shared" si="32"/>
        <v>tCO2-e</v>
      </c>
      <c r="E56" s="22">
        <f>E$35*Inputs!E31</f>
        <v>387.40875</v>
      </c>
      <c r="F56" s="22">
        <f>F$35*Inputs!F31</f>
        <v>7876.0574999999999</v>
      </c>
      <c r="G56" s="22">
        <f>G$35*Inputs!G31</f>
        <v>2299.5390000000002</v>
      </c>
      <c r="H56" s="22">
        <f>H$35*Inputs!H31</f>
        <v>105180.34000000001</v>
      </c>
      <c r="I56" s="22">
        <f>I$35*Inputs!I31</f>
        <v>743.32500000000005</v>
      </c>
      <c r="J56" s="22">
        <f>J$35*Inputs!J31</f>
        <v>6789.9360000000006</v>
      </c>
      <c r="K56" s="22">
        <f>K$35*Inputs!K31</f>
        <v>137.75</v>
      </c>
      <c r="L56" s="22">
        <f>L$35*Inputs!L31</f>
        <v>1976</v>
      </c>
      <c r="M56" s="22">
        <f>M$35*Inputs!M31</f>
        <v>533.20000000000005</v>
      </c>
      <c r="N56" s="22">
        <f>N$35*Inputs!N31</f>
        <v>3058.75</v>
      </c>
      <c r="O56" s="22">
        <f>O$35*Inputs!O31</f>
        <v>384.50600000000003</v>
      </c>
      <c r="P56" s="22">
        <f>P$35*Inputs!P31</f>
        <v>-267143.88999999996</v>
      </c>
      <c r="Q56" s="58">
        <f>Q$35*Inputs!Q31</f>
        <v>0</v>
      </c>
      <c r="R56" s="58">
        <f>R$35*Inputs!R31</f>
        <v>-1706.222</v>
      </c>
      <c r="S56" s="22">
        <f>S$35*Inputs!S31</f>
        <v>0</v>
      </c>
      <c r="T56" s="22">
        <f>T$35*Inputs!T31</f>
        <v>-304.3</v>
      </c>
      <c r="U56" s="22">
        <f>U$35*Inputs!U31</f>
        <v>68817</v>
      </c>
      <c r="V56" s="22">
        <f>V$35*Inputs!V31</f>
        <v>15.044999999999998</v>
      </c>
      <c r="W56" s="22">
        <f>W$35*Inputs!W31</f>
        <v>878.87874999999997</v>
      </c>
      <c r="X56" s="22">
        <f>X$35*Inputs!X31</f>
        <v>0</v>
      </c>
      <c r="Y56" s="22">
        <f>Y$35*Inputs!Y31</f>
        <v>0</v>
      </c>
      <c r="Z56" s="22">
        <f>Z$35*Inputs!Z31</f>
        <v>-578.04250000000002</v>
      </c>
      <c r="AA56" s="22">
        <f>AA$35*Inputs!AA31</f>
        <v>0</v>
      </c>
      <c r="AB56" s="22">
        <f>AB$35*Inputs!AB31</f>
        <v>0</v>
      </c>
      <c r="AC56" s="22">
        <f>AC$35*Inputs!AC31</f>
        <v>0</v>
      </c>
      <c r="AE56" s="26">
        <f t="shared" si="30"/>
        <v>-70654.71849999993</v>
      </c>
    </row>
    <row r="57" spans="2:31">
      <c r="B57" s="378" t="s">
        <v>95</v>
      </c>
      <c r="C57" t="str">
        <f t="shared" si="31"/>
        <v>Connection to nature</v>
      </c>
      <c r="D57" t="str">
        <f t="shared" si="32"/>
        <v>Scoring</v>
      </c>
      <c r="E57" s="22">
        <f>E$35*Inputs!E32</f>
        <v>3090</v>
      </c>
      <c r="F57" s="22">
        <f>F$35*Inputs!F32</f>
        <v>31410</v>
      </c>
      <c r="G57" s="22">
        <f>G$35*Inputs!G32</f>
        <v>5610</v>
      </c>
      <c r="H57" s="22">
        <f>H$35*Inputs!H32</f>
        <v>128300</v>
      </c>
      <c r="I57" s="22">
        <f>I$35*Inputs!I32</f>
        <v>2750</v>
      </c>
      <c r="J57" s="22">
        <f>J$35*Inputs!J32</f>
        <v>12560</v>
      </c>
      <c r="K57" s="22">
        <f>K$35*Inputs!K32</f>
        <v>290</v>
      </c>
      <c r="L57" s="22">
        <f>L$35*Inputs!L32</f>
        <v>2080</v>
      </c>
      <c r="M57" s="22">
        <f>M$35*Inputs!M32</f>
        <v>1720</v>
      </c>
      <c r="N57" s="22">
        <f>N$35*Inputs!N32</f>
        <v>24470</v>
      </c>
      <c r="O57" s="22">
        <f>O$35*Inputs!O32</f>
        <v>7310</v>
      </c>
      <c r="P57" s="22">
        <f>P$35*Inputs!P32</f>
        <v>58448</v>
      </c>
      <c r="Q57" s="58">
        <f>Q$35*Inputs!Q32</f>
        <v>44590</v>
      </c>
      <c r="R57" s="58">
        <f>R$35*Inputs!R32</f>
        <v>2140</v>
      </c>
      <c r="S57" s="22">
        <f>S$35*Inputs!S32</f>
        <v>0</v>
      </c>
      <c r="T57" s="22">
        <f>T$35*Inputs!T32</f>
        <v>1790</v>
      </c>
      <c r="U57" s="22">
        <f>U$35*Inputs!U32</f>
        <v>1827</v>
      </c>
      <c r="V57" s="22">
        <f>V$35*Inputs!V32</f>
        <v>240</v>
      </c>
      <c r="W57" s="22">
        <f>W$35*Inputs!W32</f>
        <v>7010</v>
      </c>
      <c r="X57" s="22">
        <f>X$35*Inputs!X32</f>
        <v>0</v>
      </c>
      <c r="Y57" s="22">
        <f>Y$35*Inputs!Y32</f>
        <v>0</v>
      </c>
      <c r="Z57" s="22">
        <f>Z$35*Inputs!Z32</f>
        <v>0</v>
      </c>
      <c r="AA57" s="22">
        <f>AA$35*Inputs!AA32</f>
        <v>0</v>
      </c>
      <c r="AB57" s="22">
        <f>AB$35*Inputs!AB32</f>
        <v>0</v>
      </c>
      <c r="AC57" s="22">
        <f>AC$35*Inputs!AC32</f>
        <v>0</v>
      </c>
      <c r="AE57" s="27">
        <f t="shared" si="30"/>
        <v>335635</v>
      </c>
    </row>
    <row r="58" spans="2:31">
      <c r="B58" s="378"/>
      <c r="C58" t="str">
        <f t="shared" si="31"/>
        <v>Access to basic amenities</v>
      </c>
      <c r="D58" t="str">
        <f t="shared" si="32"/>
        <v>Scoring</v>
      </c>
      <c r="E58" s="22">
        <f>E$35*Inputs!E33</f>
        <v>1236</v>
      </c>
      <c r="F58" s="22">
        <f>F$35*Inputs!F33</f>
        <v>12564</v>
      </c>
      <c r="G58" s="22">
        <f>G$35*Inputs!G33</f>
        <v>2244</v>
      </c>
      <c r="H58" s="22">
        <f>H$35*Inputs!H33</f>
        <v>51320</v>
      </c>
      <c r="I58" s="22">
        <f>I$35*Inputs!I33</f>
        <v>1100</v>
      </c>
      <c r="J58" s="22">
        <f>J$35*Inputs!J33</f>
        <v>5024</v>
      </c>
      <c r="K58" s="22">
        <f>K$35*Inputs!K33</f>
        <v>116</v>
      </c>
      <c r="L58" s="22">
        <f>L$35*Inputs!L33</f>
        <v>832</v>
      </c>
      <c r="M58" s="22">
        <f>M$35*Inputs!M33</f>
        <v>688</v>
      </c>
      <c r="N58" s="22">
        <f>N$35*Inputs!N33</f>
        <v>9788</v>
      </c>
      <c r="O58" s="22">
        <f>O$35*Inputs!O33</f>
        <v>2924</v>
      </c>
      <c r="P58" s="22">
        <f>P$35*Inputs!P33</f>
        <v>14612</v>
      </c>
      <c r="Q58" s="58">
        <f>Q$35*Inputs!Q33</f>
        <v>8918</v>
      </c>
      <c r="R58" s="58">
        <f>R$35*Inputs!R33</f>
        <v>428</v>
      </c>
      <c r="S58" s="22">
        <f>S$35*Inputs!S33</f>
        <v>0</v>
      </c>
      <c r="T58" s="22">
        <f>T$35*Inputs!T33</f>
        <v>358</v>
      </c>
      <c r="U58" s="22">
        <f>U$35*Inputs!U33</f>
        <v>5481</v>
      </c>
      <c r="V58" s="22">
        <f>V$35*Inputs!V33</f>
        <v>216</v>
      </c>
      <c r="W58" s="22">
        <f>W$35*Inputs!W33</f>
        <v>6309</v>
      </c>
      <c r="X58" s="22">
        <f>X$35*Inputs!X33</f>
        <v>0</v>
      </c>
      <c r="Y58" s="22">
        <f>Y$35*Inputs!Y33</f>
        <v>0</v>
      </c>
      <c r="Z58" s="22">
        <f>Z$35*Inputs!Z33</f>
        <v>0</v>
      </c>
      <c r="AA58" s="22">
        <f>AA$35*Inputs!AA33</f>
        <v>0</v>
      </c>
      <c r="AB58" s="22">
        <f>AB$35*Inputs!AB33</f>
        <v>0</v>
      </c>
      <c r="AC58" s="22">
        <f>AC$35*Inputs!AC33</f>
        <v>0</v>
      </c>
      <c r="AE58" s="27">
        <f t="shared" si="30"/>
        <v>124158</v>
      </c>
    </row>
    <row r="59" spans="2:31">
      <c r="B59" s="378"/>
      <c r="C59" t="str">
        <f t="shared" si="31"/>
        <v>Housing affordability</v>
      </c>
      <c r="D59" t="str">
        <f t="shared" si="32"/>
        <v>Scoring</v>
      </c>
      <c r="E59" s="22">
        <f>E$35*Inputs!E34</f>
        <v>1236</v>
      </c>
      <c r="F59" s="22">
        <f>F$35*Inputs!F34</f>
        <v>12564</v>
      </c>
      <c r="G59" s="22">
        <f>G$35*Inputs!G34</f>
        <v>2244</v>
      </c>
      <c r="H59" s="22">
        <f>H$35*Inputs!H34</f>
        <v>51320</v>
      </c>
      <c r="I59" s="22">
        <f>I$35*Inputs!I34</f>
        <v>1100</v>
      </c>
      <c r="J59" s="22">
        <f>J$35*Inputs!J34</f>
        <v>5024</v>
      </c>
      <c r="K59" s="22">
        <f>K$35*Inputs!K34</f>
        <v>116</v>
      </c>
      <c r="L59" s="22">
        <f>L$35*Inputs!L34</f>
        <v>832</v>
      </c>
      <c r="M59" s="22">
        <f>M$35*Inputs!M34</f>
        <v>688</v>
      </c>
      <c r="N59" s="22">
        <f>N$35*Inputs!N34</f>
        <v>7341</v>
      </c>
      <c r="O59" s="22">
        <f>O$35*Inputs!O34</f>
        <v>2193</v>
      </c>
      <c r="P59" s="22">
        <f>P$35*Inputs!P34</f>
        <v>21918</v>
      </c>
      <c r="Q59" s="58">
        <f>Q$35*Inputs!Q34</f>
        <v>0</v>
      </c>
      <c r="R59" s="58">
        <f>R$35*Inputs!R34</f>
        <v>0</v>
      </c>
      <c r="S59" s="22">
        <f>S$35*Inputs!S34</f>
        <v>0</v>
      </c>
      <c r="T59" s="22">
        <f>T$35*Inputs!T34</f>
        <v>0</v>
      </c>
      <c r="U59" s="22">
        <f>U$35*Inputs!U34</f>
        <v>4872</v>
      </c>
      <c r="V59" s="22">
        <f>V$35*Inputs!V34</f>
        <v>96</v>
      </c>
      <c r="W59" s="22">
        <f>W$35*Inputs!W34</f>
        <v>2804</v>
      </c>
      <c r="X59" s="22">
        <f>X$35*Inputs!X34</f>
        <v>0</v>
      </c>
      <c r="Y59" s="22">
        <f>Y$35*Inputs!Y34</f>
        <v>0</v>
      </c>
      <c r="Z59" s="22">
        <f>Z$35*Inputs!Z34</f>
        <v>0</v>
      </c>
      <c r="AA59" s="22">
        <f>AA$35*Inputs!AA34</f>
        <v>0</v>
      </c>
      <c r="AB59" s="22">
        <f>AB$35*Inputs!AB34</f>
        <v>0</v>
      </c>
      <c r="AC59" s="22">
        <f>AC$35*Inputs!AC34</f>
        <v>0</v>
      </c>
      <c r="AE59" s="27">
        <f t="shared" si="30"/>
        <v>114348</v>
      </c>
    </row>
    <row r="60" spans="2:31">
      <c r="B60" s="378"/>
      <c r="C60" t="str">
        <f t="shared" si="31"/>
        <v>Life satisfaction (current)</v>
      </c>
      <c r="D60" t="str">
        <f t="shared" si="32"/>
        <v>Scoring</v>
      </c>
      <c r="E60" s="22">
        <f>E$35*Inputs!E35</f>
        <v>2163</v>
      </c>
      <c r="F60" s="22">
        <f>F$35*Inputs!F35</f>
        <v>21987</v>
      </c>
      <c r="G60" s="22">
        <f>G$35*Inputs!G35</f>
        <v>3927</v>
      </c>
      <c r="H60" s="22">
        <f>H$35*Inputs!H35</f>
        <v>89810</v>
      </c>
      <c r="I60" s="22">
        <f>I$35*Inputs!I35</f>
        <v>1925</v>
      </c>
      <c r="J60" s="22">
        <f>J$35*Inputs!J35</f>
        <v>8792</v>
      </c>
      <c r="K60" s="22">
        <f>K$35*Inputs!K35</f>
        <v>203</v>
      </c>
      <c r="L60" s="22">
        <f>L$35*Inputs!L35</f>
        <v>1456</v>
      </c>
      <c r="M60" s="22">
        <f>M$35*Inputs!M35</f>
        <v>1204</v>
      </c>
      <c r="N60" s="22">
        <f>N$35*Inputs!N35</f>
        <v>17129</v>
      </c>
      <c r="O60" s="22">
        <f>O$35*Inputs!O35</f>
        <v>5117</v>
      </c>
      <c r="P60" s="22">
        <f>P$35*Inputs!P35</f>
        <v>43836</v>
      </c>
      <c r="Q60" s="58">
        <f>Q$35*Inputs!Q35</f>
        <v>26754</v>
      </c>
      <c r="R60" s="58">
        <f>R$35*Inputs!R35</f>
        <v>1284</v>
      </c>
      <c r="S60" s="22">
        <f>S$35*Inputs!S35</f>
        <v>0</v>
      </c>
      <c r="T60" s="22">
        <f>T$35*Inputs!T35</f>
        <v>1432</v>
      </c>
      <c r="U60" s="22">
        <f>U$35*Inputs!U35</f>
        <v>3045</v>
      </c>
      <c r="V60" s="22">
        <f>V$35*Inputs!V35</f>
        <v>168</v>
      </c>
      <c r="W60" s="22">
        <f>W$35*Inputs!W35</f>
        <v>4907</v>
      </c>
      <c r="X60" s="22">
        <f>X$35*Inputs!X35</f>
        <v>0</v>
      </c>
      <c r="Y60" s="22">
        <f>Y$35*Inputs!Y35</f>
        <v>0</v>
      </c>
      <c r="Z60" s="22">
        <f>Z$35*Inputs!Z35</f>
        <v>0</v>
      </c>
      <c r="AA60" s="22">
        <f>AA$35*Inputs!AA35</f>
        <v>0</v>
      </c>
      <c r="AB60" s="22">
        <f>AB$35*Inputs!AB35</f>
        <v>0</v>
      </c>
      <c r="AC60" s="22">
        <f>AC$35*Inputs!AC35</f>
        <v>0</v>
      </c>
      <c r="AE60" s="27">
        <f t="shared" si="30"/>
        <v>235139</v>
      </c>
    </row>
    <row r="61" spans="2:31">
      <c r="B61" s="378"/>
      <c r="C61" t="str">
        <f t="shared" si="31"/>
        <v>Life satisfaction (future)</v>
      </c>
      <c r="D61" t="str">
        <f t="shared" si="32"/>
        <v>Scoring</v>
      </c>
      <c r="E61" s="22">
        <f>E$35*Inputs!E36</f>
        <v>2163</v>
      </c>
      <c r="F61" s="22">
        <f>F$35*Inputs!F36</f>
        <v>21987</v>
      </c>
      <c r="G61" s="22">
        <f>G$35*Inputs!G36</f>
        <v>3927</v>
      </c>
      <c r="H61" s="22">
        <f>H$35*Inputs!H36</f>
        <v>89810</v>
      </c>
      <c r="I61" s="22">
        <f>I$35*Inputs!I36</f>
        <v>1925</v>
      </c>
      <c r="J61" s="22">
        <f>J$35*Inputs!J36</f>
        <v>8792</v>
      </c>
      <c r="K61" s="22">
        <f>K$35*Inputs!K36</f>
        <v>203</v>
      </c>
      <c r="L61" s="22">
        <f>L$35*Inputs!L36</f>
        <v>1456</v>
      </c>
      <c r="M61" s="22">
        <f>M$35*Inputs!M36</f>
        <v>1204</v>
      </c>
      <c r="N61" s="22">
        <f>N$35*Inputs!N36</f>
        <v>17129</v>
      </c>
      <c r="O61" s="22">
        <f>O$35*Inputs!O36</f>
        <v>5117</v>
      </c>
      <c r="P61" s="22">
        <f>P$35*Inputs!P36</f>
        <v>43836</v>
      </c>
      <c r="Q61" s="58">
        <f>Q$35*Inputs!Q36</f>
        <v>26754</v>
      </c>
      <c r="R61" s="58">
        <f>R$35*Inputs!R36</f>
        <v>1284</v>
      </c>
      <c r="S61" s="22">
        <f>S$35*Inputs!S36</f>
        <v>0</v>
      </c>
      <c r="T61" s="22">
        <f>T$35*Inputs!T36</f>
        <v>1432</v>
      </c>
      <c r="U61" s="22">
        <f>U$35*Inputs!U36</f>
        <v>3045</v>
      </c>
      <c r="V61" s="22">
        <f>V$35*Inputs!V36</f>
        <v>168</v>
      </c>
      <c r="W61" s="22">
        <f>W$35*Inputs!W36</f>
        <v>4907</v>
      </c>
      <c r="X61" s="22">
        <f>X$35*Inputs!X36</f>
        <v>0</v>
      </c>
      <c r="Y61" s="22">
        <f>Y$35*Inputs!Y36</f>
        <v>0</v>
      </c>
      <c r="Z61" s="22">
        <f>Z$35*Inputs!Z36</f>
        <v>0</v>
      </c>
      <c r="AA61" s="22">
        <f>AA$35*Inputs!AA36</f>
        <v>0</v>
      </c>
      <c r="AB61" s="22">
        <f>AB$35*Inputs!AB36</f>
        <v>0</v>
      </c>
      <c r="AC61" s="22">
        <f>AC$35*Inputs!AC36</f>
        <v>0</v>
      </c>
      <c r="AE61" s="27">
        <f t="shared" si="30"/>
        <v>235139</v>
      </c>
    </row>
    <row r="62" spans="2:31">
      <c r="B62" s="378"/>
      <c r="C62" t="str">
        <f t="shared" si="31"/>
        <v>Sense of belonging</v>
      </c>
      <c r="D62" t="str">
        <f t="shared" si="32"/>
        <v>Scoring</v>
      </c>
      <c r="E62" s="22">
        <f>E$35*Inputs!E37</f>
        <v>3090</v>
      </c>
      <c r="F62" s="22">
        <f>F$35*Inputs!F37</f>
        <v>31410</v>
      </c>
      <c r="G62" s="22">
        <f>G$35*Inputs!G37</f>
        <v>5610</v>
      </c>
      <c r="H62" s="22">
        <f>H$35*Inputs!H37</f>
        <v>128300</v>
      </c>
      <c r="I62" s="22">
        <f>I$35*Inputs!I37</f>
        <v>2750</v>
      </c>
      <c r="J62" s="22">
        <f>J$35*Inputs!J37</f>
        <v>12560</v>
      </c>
      <c r="K62" s="22">
        <f>K$35*Inputs!K37</f>
        <v>290</v>
      </c>
      <c r="L62" s="22">
        <f>L$35*Inputs!L37</f>
        <v>2080</v>
      </c>
      <c r="M62" s="22">
        <f>M$35*Inputs!M37</f>
        <v>1720</v>
      </c>
      <c r="N62" s="22">
        <f>N$35*Inputs!N37</f>
        <v>24470</v>
      </c>
      <c r="O62" s="22">
        <f>O$35*Inputs!O37</f>
        <v>7310</v>
      </c>
      <c r="P62" s="22">
        <f>P$35*Inputs!P37</f>
        <v>36530</v>
      </c>
      <c r="Q62" s="58">
        <f>Q$35*Inputs!Q37</f>
        <v>22295</v>
      </c>
      <c r="R62" s="58">
        <f>R$35*Inputs!R37</f>
        <v>1070</v>
      </c>
      <c r="S62" s="22">
        <f>S$35*Inputs!S37</f>
        <v>0</v>
      </c>
      <c r="T62" s="22">
        <f>T$35*Inputs!T37</f>
        <v>1074</v>
      </c>
      <c r="U62" s="22">
        <f>U$35*Inputs!U37</f>
        <v>2436</v>
      </c>
      <c r="V62" s="22">
        <f>V$35*Inputs!V37</f>
        <v>240</v>
      </c>
      <c r="W62" s="22">
        <f>W$35*Inputs!W37</f>
        <v>7010</v>
      </c>
      <c r="X62" s="22">
        <f>X$35*Inputs!X37</f>
        <v>0</v>
      </c>
      <c r="Y62" s="22">
        <f>Y$35*Inputs!Y37</f>
        <v>0</v>
      </c>
      <c r="Z62" s="22">
        <f>Z$35*Inputs!Z37</f>
        <v>0</v>
      </c>
      <c r="AA62" s="22">
        <f>AA$35*Inputs!AA37</f>
        <v>0</v>
      </c>
      <c r="AB62" s="22">
        <f>AB$35*Inputs!AB37</f>
        <v>0</v>
      </c>
      <c r="AC62" s="22">
        <f>AC$35*Inputs!AC37</f>
        <v>0</v>
      </c>
      <c r="AE62" s="27">
        <f t="shared" si="30"/>
        <v>290245</v>
      </c>
    </row>
    <row r="65" spans="1:31" ht="18.75">
      <c r="A65" s="21" t="s">
        <v>136</v>
      </c>
      <c r="E65" s="12"/>
      <c r="F65" s="12"/>
      <c r="G65" s="12"/>
      <c r="H65" s="12"/>
      <c r="I65" s="12"/>
      <c r="J65" s="12"/>
      <c r="K65" s="12"/>
      <c r="L65" s="12"/>
      <c r="M65" s="12"/>
      <c r="N65" s="12"/>
      <c r="O65" s="12"/>
      <c r="P65" s="12"/>
      <c r="Q65" s="131"/>
      <c r="R65" s="131"/>
      <c r="S65" s="12"/>
      <c r="T65" s="12"/>
      <c r="U65" s="12"/>
      <c r="V65" s="12"/>
      <c r="W65" s="12"/>
      <c r="X65" s="12"/>
      <c r="Y65" s="12"/>
      <c r="Z65" s="12"/>
      <c r="AA65" s="12"/>
      <c r="AB65" s="12"/>
      <c r="AC65" s="12"/>
    </row>
    <row r="66" spans="1:31" ht="18.75">
      <c r="A66" s="21"/>
      <c r="B66" s="121"/>
      <c r="C66" s="121" t="s">
        <v>137</v>
      </c>
      <c r="D66" s="121" t="s">
        <v>30</v>
      </c>
      <c r="E66" s="122">
        <f>SUMIF(Scenario!$B$14:$B$38,E$67,Scenario!$J$14:$J$38)</f>
        <v>609</v>
      </c>
      <c r="F66" s="122">
        <f>SUMIF(Scenario!$B$14:$B$38,F$67,Scenario!$J$14:$J$38)</f>
        <v>3141</v>
      </c>
      <c r="G66" s="122">
        <f>SUMIF(Scenario!$B$14:$B$38,G$67,Scenario!$J$14:$J$38)</f>
        <v>661</v>
      </c>
      <c r="H66" s="122">
        <f>SUMIF(Scenario!$B$14:$B$38,H$67,Scenario!$J$14:$J$38)</f>
        <v>12830</v>
      </c>
      <c r="I66" s="122">
        <f>SUMIF(Scenario!$B$14:$B$38,I$67,Scenario!$J$14:$J$38)</f>
        <v>275</v>
      </c>
      <c r="J66" s="122">
        <f>SUMIF(Scenario!$B$14:$B$38,J$67,Scenario!$J$14:$J$38)</f>
        <v>1256</v>
      </c>
      <c r="K66" s="122">
        <f>SUMIF(Scenario!$B$14:$B$38,K$67,Scenario!$J$14:$J$38)</f>
        <v>29</v>
      </c>
      <c r="L66" s="122">
        <f>SUMIF(Scenario!$B$14:$B$38,L$67,Scenario!$J$14:$J$38)</f>
        <v>208</v>
      </c>
      <c r="M66" s="122">
        <f>SUMIF(Scenario!$B$14:$B$38,M$67,Scenario!$J$14:$J$38)</f>
        <v>172</v>
      </c>
      <c r="N66" s="122">
        <f>SUMIF(Scenario!$B$14:$B$38,N$67,Scenario!$J$14:$J$38)</f>
        <v>2447</v>
      </c>
      <c r="O66" s="122">
        <f>SUMIF(Scenario!$B$14:$B$38,O$67,Scenario!$J$14:$J$38)</f>
        <v>731</v>
      </c>
      <c r="P66" s="122">
        <f>SUMIF(Scenario!$B$14:$B$38,P$67,Scenario!$J$14:$J$38)</f>
        <v>7106</v>
      </c>
      <c r="Q66" s="132">
        <f>SUMIF(Scenario!$B$14:$B$38,Q$67,Scenario!$J$14:$J$38)</f>
        <v>4459</v>
      </c>
      <c r="R66" s="132">
        <f>SUMIF(Scenario!$B$14:$B$38,R$67,Scenario!$J$14:$J$38)</f>
        <v>14</v>
      </c>
      <c r="S66" s="122">
        <f>SUMIF(Scenario!$B$14:$B$38,S$67,Scenario!$J$14:$J$38)</f>
        <v>0</v>
      </c>
      <c r="T66" s="122">
        <f>SUMIF(Scenario!$B$14:$B$38,T$67,Scenario!$J$14:$J$38)</f>
        <v>179</v>
      </c>
      <c r="U66" s="122">
        <f>SUMIF(Scenario!$B$14:$B$38,U$67,Scenario!$J$14:$J$38)</f>
        <v>609</v>
      </c>
      <c r="V66" s="122">
        <f>SUMIF(Scenario!$B$14:$B$38,V$67,Scenario!$J$14:$J$38)</f>
        <v>24</v>
      </c>
      <c r="W66" s="122">
        <f>SUMIF(Scenario!$B$14:$B$38,W$67,Scenario!$J$14:$J$38)</f>
        <v>701</v>
      </c>
      <c r="X66" s="122">
        <f>SUMIF(Scenario!$B$14:$B$38,X$67,Scenario!$J$14:$J$38)</f>
        <v>106</v>
      </c>
      <c r="Y66" s="122">
        <f>SUMIF(Scenario!$B$14:$B$38,Y$67,Scenario!$J$14:$J$38)</f>
        <v>30</v>
      </c>
      <c r="Z66" s="122">
        <f>SUMIF(Scenario!$B$14:$B$38,Z$67,Scenario!$J$14:$J$38)</f>
        <v>145</v>
      </c>
      <c r="AA66" s="123">
        <f>SUMIF(Scenario!$B$14:$B$38,AA$67,Scenario!$J$14:$J$38)</f>
        <v>0</v>
      </c>
      <c r="AB66" s="123">
        <f>SUMIF(Scenario!$B$14:$B$38,AB$67,Scenario!$J$14:$J$38)</f>
        <v>0</v>
      </c>
      <c r="AC66" s="123">
        <f>SUMIF(Scenario!$B$14:$B$38,AC$67,Scenario!$J$14:$J$38)</f>
        <v>0</v>
      </c>
      <c r="AD66" s="17"/>
      <c r="AE66" s="124">
        <f>SUM(E66:AC66)</f>
        <v>35732</v>
      </c>
    </row>
    <row r="67" spans="1:31" s="15" customFormat="1" ht="95.25" customHeight="1">
      <c r="B67" s="17" t="s">
        <v>41</v>
      </c>
      <c r="C67" s="17" t="s">
        <v>42</v>
      </c>
      <c r="D67" s="17" t="s">
        <v>43</v>
      </c>
      <c r="E67" s="16" t="str">
        <f t="shared" ref="E67:AC67" si="33">E5</f>
        <v>Sheep + Beef  (SEPP)</v>
      </c>
      <c r="F67" s="16" t="str">
        <f t="shared" si="33"/>
        <v>Sheep + Beef  (Non-SEPP)</v>
      </c>
      <c r="G67" s="16" t="str">
        <f t="shared" si="33"/>
        <v>Dairy (SEPP)</v>
      </c>
      <c r="H67" s="16" t="str">
        <f t="shared" si="33"/>
        <v>Dairy (Non-SEPP)</v>
      </c>
      <c r="I67" s="16" t="str">
        <f t="shared" si="33"/>
        <v>Dairy support/high intensity beef or dairy grazing (SEPP)</v>
      </c>
      <c r="J67" s="16" t="str">
        <f t="shared" si="33"/>
        <v>Dairy support/high intensity beef or dairy grazing (Non-SEPP)</v>
      </c>
      <c r="K67" s="16" t="str">
        <f t="shared" si="33"/>
        <v>Deer (SEPP)</v>
      </c>
      <c r="L67" s="16" t="str">
        <f t="shared" si="33"/>
        <v>Deer (Non-SEPP)</v>
      </c>
      <c r="M67" s="16" t="str">
        <f t="shared" si="33"/>
        <v>Arable/vegetables</v>
      </c>
      <c r="N67" s="16" t="str">
        <f t="shared" si="33"/>
        <v>Kiwifruit</v>
      </c>
      <c r="O67" s="16" t="str">
        <f t="shared" si="33"/>
        <v>Other horticulture</v>
      </c>
      <c r="P67" s="16" t="str">
        <f t="shared" si="33"/>
        <v>Forestry - Exotic</v>
      </c>
      <c r="Q67" s="126" t="str">
        <f t="shared" si="33"/>
        <v>Forestry - Indigenous pre-1990</v>
      </c>
      <c r="R67" s="126" t="str">
        <f t="shared" si="33"/>
        <v>Forestry - Indigenous post-1989</v>
      </c>
      <c r="S67" s="16" t="str">
        <f t="shared" si="33"/>
        <v>Parks and Recreation</v>
      </c>
      <c r="T67" s="16" t="str">
        <f t="shared" si="33"/>
        <v>Wetlands</v>
      </c>
      <c r="U67" s="16" t="str">
        <f t="shared" si="33"/>
        <v>Urban/road/rail</v>
      </c>
      <c r="V67" s="16" t="str">
        <f t="shared" si="33"/>
        <v>Lifestyle block or mixed land use (SEPP)</v>
      </c>
      <c r="W67" s="16" t="str">
        <f t="shared" si="33"/>
        <v>Lifestyle block or mixed land use (Non-SEPP)</v>
      </c>
      <c r="X67" s="16" t="str">
        <f t="shared" si="33"/>
        <v>Hydro</v>
      </c>
      <c r="Y67" s="16" t="str">
        <f t="shared" si="33"/>
        <v>Other</v>
      </c>
      <c r="Z67" s="16" t="str">
        <f t="shared" si="33"/>
        <v>Scrub</v>
      </c>
      <c r="AA67" s="20" t="str">
        <f t="shared" si="33"/>
        <v>Custom Land Use A</v>
      </c>
      <c r="AB67" s="20" t="str">
        <f t="shared" si="33"/>
        <v>Custom Land Use B</v>
      </c>
      <c r="AC67" s="20" t="str">
        <f t="shared" si="33"/>
        <v>Custom Land Use C</v>
      </c>
      <c r="AE67" s="120" t="s">
        <v>138</v>
      </c>
    </row>
    <row r="68" spans="1:31">
      <c r="B68" s="377" t="str">
        <f>B37</f>
        <v>Economic</v>
      </c>
      <c r="C68" t="str">
        <f>C37</f>
        <v>Value-added - Direct impact</v>
      </c>
      <c r="D68" t="str">
        <f>D37</f>
        <v>$</v>
      </c>
      <c r="E68" s="22">
        <f>E$66*Inputs!E12</f>
        <v>261261</v>
      </c>
      <c r="F68" s="22">
        <f>F$66*Inputs!F12</f>
        <v>1909728</v>
      </c>
      <c r="G68" s="22">
        <f>G$66*Inputs!G12</f>
        <v>1600281</v>
      </c>
      <c r="H68" s="22">
        <f>H$66*Inputs!H12</f>
        <v>73952120</v>
      </c>
      <c r="I68" s="22">
        <f>I$66*Inputs!I12</f>
        <v>115775</v>
      </c>
      <c r="J68" s="22">
        <f>J$66*Inputs!J12</f>
        <v>1259768</v>
      </c>
      <c r="K68" s="22">
        <f>K$66*Inputs!K12</f>
        <v>5510</v>
      </c>
      <c r="L68" s="22">
        <f>L$66*Inputs!L12</f>
        <v>94016</v>
      </c>
      <c r="M68" s="22">
        <f>M$66*Inputs!M12</f>
        <v>613352</v>
      </c>
      <c r="N68" s="22">
        <f>N$66*Inputs!N12</f>
        <v>178347148</v>
      </c>
      <c r="O68" s="22">
        <f>O$66*Inputs!O12</f>
        <v>13808590</v>
      </c>
      <c r="P68" s="22">
        <f>P$66*Inputs!P12</f>
        <v>2522630</v>
      </c>
      <c r="Q68" s="58">
        <f>Q$66*Inputs!Q12</f>
        <v>0</v>
      </c>
      <c r="R68" s="58">
        <f>R$66*Inputs!R12</f>
        <v>0</v>
      </c>
      <c r="S68" s="22">
        <f>S$66*Inputs!S12</f>
        <v>0</v>
      </c>
      <c r="T68" s="22">
        <f>T$66*Inputs!T12</f>
        <v>0</v>
      </c>
      <c r="U68" s="22">
        <f>U$66*Inputs!U12</f>
        <v>0</v>
      </c>
      <c r="V68" s="22">
        <f>V$66*Inputs!V12</f>
        <v>0</v>
      </c>
      <c r="W68" s="22">
        <f>W$66*Inputs!W12</f>
        <v>0</v>
      </c>
      <c r="X68" s="22">
        <f>X$66*Inputs!X12</f>
        <v>0</v>
      </c>
      <c r="Y68" s="22">
        <f>Y$66*Inputs!Y12</f>
        <v>0</v>
      </c>
      <c r="Z68" s="22">
        <f>Z$66*Inputs!Z12</f>
        <v>0</v>
      </c>
      <c r="AA68" s="22">
        <f>AA$66*Inputs!AA12</f>
        <v>0</v>
      </c>
      <c r="AB68" s="22">
        <f>AB$66*Inputs!AB12</f>
        <v>0</v>
      </c>
      <c r="AC68" s="22">
        <f>AC$66*Inputs!AC12</f>
        <v>0</v>
      </c>
      <c r="AE68" s="25">
        <f>SUM(E68:AC68)</f>
        <v>274490179</v>
      </c>
    </row>
    <row r="69" spans="1:31">
      <c r="B69" s="377"/>
      <c r="C69" s="23" t="s">
        <v>69</v>
      </c>
      <c r="D69" s="23" t="s">
        <v>127</v>
      </c>
      <c r="E69" s="22">
        <f>E$66*Inputs!E13</f>
        <v>373926</v>
      </c>
      <c r="F69" s="22">
        <f>F$66*Inputs!F13</f>
        <v>2738952</v>
      </c>
      <c r="G69" s="22">
        <f>G$66*Inputs!G13</f>
        <v>2182622</v>
      </c>
      <c r="H69" s="22">
        <f>H$66*Inputs!H13</f>
        <v>100869460</v>
      </c>
      <c r="I69" s="22">
        <f>I$66*Inputs!I13</f>
        <v>158125</v>
      </c>
      <c r="J69" s="22">
        <f>J$66*Inputs!J13</f>
        <v>1718208</v>
      </c>
      <c r="K69" s="22">
        <f>K$66*Inputs!K13</f>
        <v>8497</v>
      </c>
      <c r="L69" s="22">
        <f>L$66*Inputs!L13</f>
        <v>144976</v>
      </c>
      <c r="M69" s="22">
        <f>M$66*Inputs!M13</f>
        <v>878920</v>
      </c>
      <c r="N69" s="22">
        <f>N$66*Inputs!N13</f>
        <v>283653793</v>
      </c>
      <c r="O69" s="22">
        <f>O$66*Inputs!O13</f>
        <v>21962164</v>
      </c>
      <c r="P69" s="22">
        <f>P$66*Inputs!P13</f>
        <v>5365030</v>
      </c>
      <c r="Q69" s="58">
        <f>Q$66*Inputs!Q13</f>
        <v>0</v>
      </c>
      <c r="R69" s="58">
        <f>R$66*Inputs!R13</f>
        <v>0</v>
      </c>
      <c r="S69" s="22">
        <f>S$66*Inputs!S13</f>
        <v>0</v>
      </c>
      <c r="T69" s="22">
        <f>T$66*Inputs!T13</f>
        <v>0</v>
      </c>
      <c r="U69" s="22">
        <f>U$66*Inputs!U13</f>
        <v>0</v>
      </c>
      <c r="V69" s="22">
        <f>V$66*Inputs!V13</f>
        <v>0</v>
      </c>
      <c r="W69" s="22">
        <f>W$66*Inputs!W13</f>
        <v>0</v>
      </c>
      <c r="X69" s="22">
        <f>X$66*Inputs!X13</f>
        <v>0</v>
      </c>
      <c r="Y69" s="22">
        <f>Y$66*Inputs!Y13</f>
        <v>0</v>
      </c>
      <c r="Z69" s="22">
        <f>Z$66*Inputs!Z13</f>
        <v>0</v>
      </c>
      <c r="AA69" s="22">
        <f>AA$66*Inputs!AA13</f>
        <v>0</v>
      </c>
      <c r="AB69" s="22">
        <f>AB$66*Inputs!AB13</f>
        <v>0</v>
      </c>
      <c r="AC69" s="22">
        <f>AC$66*Inputs!AC13</f>
        <v>0</v>
      </c>
      <c r="AE69" s="25">
        <f t="shared" ref="AE69:AE92" si="34">SUM(E69:AC69)</f>
        <v>420054673</v>
      </c>
    </row>
    <row r="70" spans="1:31">
      <c r="B70" s="377"/>
      <c r="C70" s="23" t="s">
        <v>70</v>
      </c>
      <c r="D70" s="23" t="s">
        <v>127</v>
      </c>
      <c r="E70" s="22">
        <f>E$66*Inputs!E14</f>
        <v>453705</v>
      </c>
      <c r="F70" s="22">
        <f>F$66*Inputs!F14</f>
        <v>3320037</v>
      </c>
      <c r="G70" s="22">
        <f>G$66*Inputs!G14</f>
        <v>2714066</v>
      </c>
      <c r="H70" s="22">
        <f>H$66*Inputs!H14</f>
        <v>125438910</v>
      </c>
      <c r="I70" s="22">
        <f>I$66*Inputs!I14</f>
        <v>196625</v>
      </c>
      <c r="J70" s="22">
        <f>J$66*Inputs!J14</f>
        <v>2136456</v>
      </c>
      <c r="K70" s="22">
        <f>K$66*Inputs!K14</f>
        <v>10643</v>
      </c>
      <c r="L70" s="22">
        <f>L$66*Inputs!L14</f>
        <v>181792</v>
      </c>
      <c r="M70" s="22">
        <f>M$66*Inputs!M14</f>
        <v>1065368</v>
      </c>
      <c r="N70" s="22">
        <f>N$66*Inputs!N14</f>
        <v>360227764</v>
      </c>
      <c r="O70" s="22">
        <f>O$66*Inputs!O14</f>
        <v>27891305</v>
      </c>
      <c r="P70" s="22">
        <f>P$66*Inputs!P14</f>
        <v>6786230</v>
      </c>
      <c r="Q70" s="58">
        <f>Q$66*Inputs!Q14</f>
        <v>0</v>
      </c>
      <c r="R70" s="58">
        <f>R$66*Inputs!R14</f>
        <v>0</v>
      </c>
      <c r="S70" s="22">
        <f>S$66*Inputs!S14</f>
        <v>0</v>
      </c>
      <c r="T70" s="22">
        <f>T$66*Inputs!T14</f>
        <v>0</v>
      </c>
      <c r="U70" s="22">
        <f>U$66*Inputs!U14</f>
        <v>0</v>
      </c>
      <c r="V70" s="22">
        <f>V$66*Inputs!V14</f>
        <v>0</v>
      </c>
      <c r="W70" s="22">
        <f>W$66*Inputs!W14</f>
        <v>0</v>
      </c>
      <c r="X70" s="22">
        <f>X$66*Inputs!X14</f>
        <v>0</v>
      </c>
      <c r="Y70" s="22">
        <f>Y$66*Inputs!Y14</f>
        <v>0</v>
      </c>
      <c r="Z70" s="22">
        <f>Z$66*Inputs!Z14</f>
        <v>0</v>
      </c>
      <c r="AA70" s="22">
        <f>AA$66*Inputs!AA14</f>
        <v>0</v>
      </c>
      <c r="AB70" s="22">
        <f>AB$66*Inputs!AB14</f>
        <v>0</v>
      </c>
      <c r="AC70" s="22">
        <f>AC$66*Inputs!AC14</f>
        <v>0</v>
      </c>
      <c r="AE70" s="25">
        <f t="shared" si="34"/>
        <v>530422901</v>
      </c>
    </row>
    <row r="71" spans="1:31">
      <c r="B71" s="377"/>
      <c r="C71" s="23" t="str">
        <f>C40</f>
        <v>Employment -Direct impact</v>
      </c>
      <c r="D71" s="23" t="str">
        <f>D40</f>
        <v>MEC</v>
      </c>
      <c r="E71" s="22">
        <f>E$66*Inputs!E15</f>
        <v>1.9488000000000001</v>
      </c>
      <c r="F71" s="22">
        <f>F$66*Inputs!F15</f>
        <v>14.134499999999999</v>
      </c>
      <c r="G71" s="22">
        <f>G$66*Inputs!G15</f>
        <v>7.7997999999999994</v>
      </c>
      <c r="H71" s="22">
        <f>H$66*Inputs!H15</f>
        <v>360.52300000000002</v>
      </c>
      <c r="I71" s="22">
        <f>I$66*Inputs!I15</f>
        <v>0.57750000000000001</v>
      </c>
      <c r="J71" s="22">
        <f>J$66*Inputs!J15</f>
        <v>6.1543999999999999</v>
      </c>
      <c r="K71" s="22">
        <f>K$66*Inputs!K15</f>
        <v>0.10150000000000001</v>
      </c>
      <c r="L71" s="22">
        <f>L$66*Inputs!L15</f>
        <v>1.7471999999999999</v>
      </c>
      <c r="M71" s="22">
        <f>M$66*Inputs!M15</f>
        <v>4.5407999999999999</v>
      </c>
      <c r="N71" s="22">
        <f>N$66*Inputs!N15</f>
        <v>863.54629999999997</v>
      </c>
      <c r="O71" s="22">
        <f>O$66*Inputs!O15</f>
        <v>66.886499999999998</v>
      </c>
      <c r="P71" s="22">
        <f>P$66*Inputs!P15</f>
        <v>2.8424</v>
      </c>
      <c r="Q71" s="58">
        <f>Q$66*Inputs!Q15</f>
        <v>0</v>
      </c>
      <c r="R71" s="58">
        <f>R$66*Inputs!R15</f>
        <v>0</v>
      </c>
      <c r="S71" s="22">
        <f>S$66*Inputs!S15</f>
        <v>0</v>
      </c>
      <c r="T71" s="22">
        <f>T$66*Inputs!T15</f>
        <v>0</v>
      </c>
      <c r="U71" s="22">
        <f>U$66*Inputs!U15</f>
        <v>0</v>
      </c>
      <c r="V71" s="22">
        <f>V$66*Inputs!V15</f>
        <v>0</v>
      </c>
      <c r="W71" s="22">
        <f>W$66*Inputs!W15</f>
        <v>0</v>
      </c>
      <c r="X71" s="22">
        <f>X$66*Inputs!X15</f>
        <v>0</v>
      </c>
      <c r="Y71" s="22">
        <f>Y$66*Inputs!Y15</f>
        <v>0</v>
      </c>
      <c r="Z71" s="22">
        <f>Z$66*Inputs!Z15</f>
        <v>0</v>
      </c>
      <c r="AA71" s="22">
        <f>AA$66*Inputs!AA15</f>
        <v>0</v>
      </c>
      <c r="AB71" s="22">
        <f>AB$66*Inputs!AB15</f>
        <v>0</v>
      </c>
      <c r="AC71" s="22">
        <f>AC$66*Inputs!AC15</f>
        <v>0</v>
      </c>
      <c r="AE71" s="25">
        <f t="shared" si="34"/>
        <v>1330.8027000000002</v>
      </c>
    </row>
    <row r="72" spans="1:31">
      <c r="B72" s="377"/>
      <c r="C72" s="23" t="s">
        <v>130</v>
      </c>
      <c r="D72" s="23" t="s">
        <v>129</v>
      </c>
      <c r="E72" s="22">
        <f>E$66*Inputs!E16</f>
        <v>3.0449999999999999</v>
      </c>
      <c r="F72" s="22">
        <f>F$66*Inputs!F16</f>
        <v>22.301100000000002</v>
      </c>
      <c r="G72" s="22">
        <f>G$66*Inputs!G16</f>
        <v>13.682700000000001</v>
      </c>
      <c r="H72" s="22">
        <f>H$66*Inputs!H16</f>
        <v>631.23599999999999</v>
      </c>
      <c r="I72" s="22">
        <f>I$66*Inputs!I16</f>
        <v>0.99</v>
      </c>
      <c r="J72" s="22">
        <f>J$66*Inputs!J16</f>
        <v>10.801600000000001</v>
      </c>
      <c r="K72" s="22">
        <f>K$66*Inputs!K16</f>
        <v>0.13339999999999999</v>
      </c>
      <c r="L72" s="22">
        <f>L$66*Inputs!L16</f>
        <v>2.2879999999999998</v>
      </c>
      <c r="M72" s="22">
        <f>M$66*Inputs!M16</f>
        <v>7.1895999999999995</v>
      </c>
      <c r="N72" s="22">
        <f>N$66*Inputs!N16</f>
        <v>2061.5974999999999</v>
      </c>
      <c r="O72" s="22">
        <f>O$66*Inputs!O16</f>
        <v>159.65040000000002</v>
      </c>
      <c r="P72" s="22">
        <f>P$66*Inputs!P16</f>
        <v>29.134600000000002</v>
      </c>
      <c r="Q72" s="58">
        <f>Q$66*Inputs!Q16</f>
        <v>0</v>
      </c>
      <c r="R72" s="58">
        <f>R$66*Inputs!R16</f>
        <v>0</v>
      </c>
      <c r="S72" s="22">
        <f>S$66*Inputs!S16</f>
        <v>0</v>
      </c>
      <c r="T72" s="22">
        <f>T$66*Inputs!T16</f>
        <v>0</v>
      </c>
      <c r="U72" s="22">
        <f>U$66*Inputs!U16</f>
        <v>0</v>
      </c>
      <c r="V72" s="22">
        <f>V$66*Inputs!V16</f>
        <v>0</v>
      </c>
      <c r="W72" s="22">
        <f>W$66*Inputs!W16</f>
        <v>0</v>
      </c>
      <c r="X72" s="22">
        <f>X$66*Inputs!X16</f>
        <v>0</v>
      </c>
      <c r="Y72" s="22">
        <f>Y$66*Inputs!Y16</f>
        <v>0</v>
      </c>
      <c r="Z72" s="22">
        <f>Z$66*Inputs!Z16</f>
        <v>0</v>
      </c>
      <c r="AA72" s="22">
        <f>AA$66*Inputs!AA16</f>
        <v>0</v>
      </c>
      <c r="AB72" s="22">
        <f>AB$66*Inputs!AB16</f>
        <v>0</v>
      </c>
      <c r="AC72" s="22">
        <f>AC$66*Inputs!AC16</f>
        <v>0</v>
      </c>
      <c r="AE72" s="25">
        <f t="shared" si="34"/>
        <v>2942.0499</v>
      </c>
    </row>
    <row r="73" spans="1:31">
      <c r="B73" s="377"/>
      <c r="C73" s="23" t="s">
        <v>131</v>
      </c>
      <c r="D73" s="23" t="s">
        <v>129</v>
      </c>
      <c r="E73" s="22">
        <f>E$66*Inputs!E17</f>
        <v>3.5930999999999997</v>
      </c>
      <c r="F73" s="22">
        <f>F$66*Inputs!F17</f>
        <v>26.384399999999999</v>
      </c>
      <c r="G73" s="22">
        <f>G$66*Inputs!G17</f>
        <v>17.252100000000002</v>
      </c>
      <c r="H73" s="22">
        <f>H$66*Inputs!H17</f>
        <v>796.74300000000005</v>
      </c>
      <c r="I73" s="22">
        <f>I$66*Inputs!I17</f>
        <v>1.2374999999999998</v>
      </c>
      <c r="J73" s="22">
        <f>J$66*Inputs!J17</f>
        <v>13.5648</v>
      </c>
      <c r="K73" s="22">
        <f>K$66*Inputs!K17</f>
        <v>0.1479</v>
      </c>
      <c r="L73" s="22">
        <f>L$66*Inputs!L17</f>
        <v>2.5376000000000003</v>
      </c>
      <c r="M73" s="22">
        <f>M$66*Inputs!M17</f>
        <v>8.4624000000000006</v>
      </c>
      <c r="N73" s="22">
        <f>N$66*Inputs!N17</f>
        <v>2584.7660999999998</v>
      </c>
      <c r="O73" s="22">
        <f>O$66*Inputs!O17</f>
        <v>200.14779999999999</v>
      </c>
      <c r="P73" s="22">
        <f>P$66*Inputs!P17</f>
        <v>39.082999999999998</v>
      </c>
      <c r="Q73" s="58">
        <f>Q$66*Inputs!Q17</f>
        <v>0</v>
      </c>
      <c r="R73" s="58">
        <f>R$66*Inputs!R17</f>
        <v>0</v>
      </c>
      <c r="S73" s="22">
        <f>S$66*Inputs!S17</f>
        <v>0</v>
      </c>
      <c r="T73" s="22">
        <f>T$66*Inputs!T17</f>
        <v>0</v>
      </c>
      <c r="U73" s="22">
        <f>U$66*Inputs!U17</f>
        <v>0</v>
      </c>
      <c r="V73" s="22">
        <f>V$66*Inputs!V17</f>
        <v>0</v>
      </c>
      <c r="W73" s="22">
        <f>W$66*Inputs!W17</f>
        <v>0</v>
      </c>
      <c r="X73" s="22">
        <f>X$66*Inputs!X17</f>
        <v>0</v>
      </c>
      <c r="Y73" s="22">
        <f>Y$66*Inputs!Y17</f>
        <v>0</v>
      </c>
      <c r="Z73" s="22">
        <f>Z$66*Inputs!Z17</f>
        <v>0</v>
      </c>
      <c r="AA73" s="22">
        <f>AA$66*Inputs!AA17</f>
        <v>0</v>
      </c>
      <c r="AB73" s="22">
        <f>AB$66*Inputs!AB17</f>
        <v>0</v>
      </c>
      <c r="AC73" s="22">
        <f>AC$66*Inputs!AC17</f>
        <v>0</v>
      </c>
      <c r="AE73" s="25">
        <f t="shared" si="34"/>
        <v>3693.9197000000004</v>
      </c>
    </row>
    <row r="74" spans="1:31" s="23" customFormat="1">
      <c r="B74" s="377"/>
      <c r="C74" s="23" t="str">
        <f t="shared" ref="C74:D74" si="35">C43</f>
        <v>Land value</v>
      </c>
      <c r="D74" s="23" t="str">
        <f t="shared" si="35"/>
        <v>$</v>
      </c>
      <c r="E74" s="58">
        <f>E$66*Inputs!E18</f>
        <v>9935226</v>
      </c>
      <c r="F74" s="58">
        <f>F$66*Inputs!F18</f>
        <v>51242274</v>
      </c>
      <c r="G74" s="58">
        <f>G$66*Inputs!G18</f>
        <v>34718364</v>
      </c>
      <c r="H74" s="58">
        <f>H$66*Inputs!H18</f>
        <v>673882920</v>
      </c>
      <c r="I74" s="58">
        <f>I$66*Inputs!I18</f>
        <v>4486350</v>
      </c>
      <c r="J74" s="58">
        <f>J$66*Inputs!J18</f>
        <v>20490384</v>
      </c>
      <c r="K74" s="58">
        <f>K$66*Inputs!K18</f>
        <v>1420014</v>
      </c>
      <c r="L74" s="58">
        <f>L$66*Inputs!L18</f>
        <v>10184928</v>
      </c>
      <c r="M74" s="58">
        <f>M$66*Inputs!M18</f>
        <v>21411420</v>
      </c>
      <c r="N74" s="58">
        <f>N$66*Inputs!N18</f>
        <v>621765571</v>
      </c>
      <c r="O74" s="58">
        <f>O$66*Inputs!O18</f>
        <v>160751286</v>
      </c>
      <c r="P74" s="58">
        <f>P$66*Inputs!P18</f>
        <v>37967358</v>
      </c>
      <c r="Q74" s="58">
        <f>Q$66*Inputs!Q18</f>
        <v>6006273</v>
      </c>
      <c r="R74" s="58">
        <f>R$66*Inputs!R18</f>
        <v>18858</v>
      </c>
      <c r="S74" s="58">
        <f>S$66*Inputs!S18</f>
        <v>0</v>
      </c>
      <c r="T74" s="58">
        <f>T$66*Inputs!T18</f>
        <v>0</v>
      </c>
      <c r="U74" s="58">
        <f>U$66*Inputs!U18</f>
        <v>3696578844</v>
      </c>
      <c r="V74" s="58">
        <f>V$66*Inputs!V18</f>
        <v>10265016</v>
      </c>
      <c r="W74" s="58">
        <f>W$66*Inputs!W18</f>
        <v>299824009</v>
      </c>
      <c r="X74" s="58">
        <f>X$66*Inputs!X18</f>
        <v>0</v>
      </c>
      <c r="Y74" s="58">
        <f>Y$66*Inputs!Y18</f>
        <v>3336570</v>
      </c>
      <c r="Z74" s="58">
        <f>Z$66*Inputs!Z18</f>
        <v>0</v>
      </c>
      <c r="AA74" s="58">
        <f>AA$66*Inputs!AA18</f>
        <v>0</v>
      </c>
      <c r="AB74" s="58">
        <f>AB$66*Inputs!AB18</f>
        <v>0</v>
      </c>
      <c r="AC74" s="58">
        <f>AC$66*Inputs!AC18</f>
        <v>0</v>
      </c>
      <c r="AE74" s="179">
        <f>SUM(E74:AC74)</f>
        <v>5664285665</v>
      </c>
    </row>
    <row r="75" spans="1:31" s="23" customFormat="1">
      <c r="B75" s="377"/>
      <c r="C75" s="23" t="s">
        <v>77</v>
      </c>
      <c r="D75" s="23" t="str">
        <f>D44</f>
        <v>$</v>
      </c>
      <c r="E75" s="58">
        <f>E$66*Inputs!E39</f>
        <v>96989.827200000014</v>
      </c>
      <c r="F75" s="58">
        <f>F$66*Inputs!F39</f>
        <v>703459.93050000002</v>
      </c>
      <c r="G75" s="58">
        <f>G$66*Inputs!G39</f>
        <v>457941.85759999999</v>
      </c>
      <c r="H75" s="58">
        <f>H$66*Inputs!H39</f>
        <v>21167026.375999998</v>
      </c>
      <c r="I75" s="58">
        <f>I$66*Inputs!I39</f>
        <v>28281.33</v>
      </c>
      <c r="J75" s="58">
        <f>J$66*Inputs!J39</f>
        <v>301393.27679999999</v>
      </c>
      <c r="K75" s="58">
        <f>K$66*Inputs!K39</f>
        <v>5104.6379999999999</v>
      </c>
      <c r="L75" s="58">
        <f>L$66*Inputs!L39</f>
        <v>87870.182399999991</v>
      </c>
      <c r="M75" s="58">
        <f>M$66*Inputs!M39</f>
        <v>169235.61600000001</v>
      </c>
      <c r="N75" s="58">
        <f>N$66*Inputs!N39</f>
        <v>33077277.475199997</v>
      </c>
      <c r="O75" s="58">
        <f>O$66*Inputs!O39</f>
        <v>2562020.4959999998</v>
      </c>
      <c r="P75" s="58">
        <f>P$66*Inputs!P39</f>
        <v>224791.204</v>
      </c>
      <c r="Q75" s="58">
        <f>Q$66*Inputs!Q39</f>
        <v>0</v>
      </c>
      <c r="R75" s="58">
        <f>R$66*Inputs!R39</f>
        <v>0</v>
      </c>
      <c r="S75" s="58">
        <f>S$66*Inputs!S39</f>
        <v>0</v>
      </c>
      <c r="T75" s="58">
        <f>T$66*Inputs!T39</f>
        <v>0</v>
      </c>
      <c r="U75" s="58">
        <f>U$66*Inputs!U39</f>
        <v>0</v>
      </c>
      <c r="V75" s="58">
        <f>V$66*Inputs!V39</f>
        <v>0</v>
      </c>
      <c r="W75" s="58">
        <f>W$66*Inputs!W39</f>
        <v>0</v>
      </c>
      <c r="X75" s="58">
        <f>X$66*Inputs!X39</f>
        <v>0</v>
      </c>
      <c r="Y75" s="58">
        <f>Y$66*Inputs!Y39</f>
        <v>0</v>
      </c>
      <c r="Z75" s="58">
        <f>Z$66*Inputs!Z39</f>
        <v>0</v>
      </c>
      <c r="AA75" s="58">
        <f>AA$66*Inputs!AA39</f>
        <v>0</v>
      </c>
      <c r="AB75" s="58">
        <f>AB$66*Inputs!AB39</f>
        <v>0</v>
      </c>
      <c r="AC75" s="58">
        <f>AC$66*Inputs!AC39</f>
        <v>0</v>
      </c>
      <c r="AE75" s="57">
        <f>SUM(E75:AC75)</f>
        <v>58881392.209699996</v>
      </c>
    </row>
    <row r="76" spans="1:31" ht="15" customHeight="1">
      <c r="B76" s="376" t="str">
        <f>B45</f>
        <v>Environmental</v>
      </c>
      <c r="C76" t="str">
        <f>C45</f>
        <v>N loss</v>
      </c>
      <c r="D76" t="str">
        <f>D45</f>
        <v>kg</v>
      </c>
      <c r="E76" s="22">
        <f>E$66*Inputs!E20</f>
        <v>14616</v>
      </c>
      <c r="F76" s="22">
        <f>F$66*Inputs!F20</f>
        <v>75384</v>
      </c>
      <c r="G76" s="22">
        <f>G$66*Inputs!G20</f>
        <v>40321</v>
      </c>
      <c r="H76" s="22">
        <f>H$66*Inputs!H20</f>
        <v>782630</v>
      </c>
      <c r="I76" s="22">
        <f>I$66*Inputs!I20</f>
        <v>7700</v>
      </c>
      <c r="J76" s="22">
        <f>J$66*Inputs!J20</f>
        <v>35168</v>
      </c>
      <c r="K76" s="22">
        <f>K$66*Inputs!K20</f>
        <v>725</v>
      </c>
      <c r="L76" s="22">
        <f>L$66*Inputs!L20</f>
        <v>5200</v>
      </c>
      <c r="M76" s="22">
        <f>M$66*Inputs!M20</f>
        <v>9976</v>
      </c>
      <c r="N76" s="22">
        <f>N$66*Inputs!N20</f>
        <v>61175</v>
      </c>
      <c r="O76" s="22">
        <f>O$66*Inputs!O20</f>
        <v>19737</v>
      </c>
      <c r="P76" s="22">
        <f>P$66*Inputs!P20</f>
        <v>29134.6</v>
      </c>
      <c r="Q76" s="58">
        <f>Q$66*Inputs!Q20</f>
        <v>17836</v>
      </c>
      <c r="R76" s="58">
        <f>R$66*Inputs!R20</f>
        <v>56</v>
      </c>
      <c r="S76" s="22">
        <f>S$66*Inputs!S20</f>
        <v>0</v>
      </c>
      <c r="T76" s="22">
        <f>T$66*Inputs!T20</f>
        <v>0</v>
      </c>
      <c r="U76" s="22">
        <f>U$66*Inputs!U20</f>
        <v>0</v>
      </c>
      <c r="V76" s="22">
        <f>V$66*Inputs!V20</f>
        <v>0</v>
      </c>
      <c r="W76" s="22">
        <f>W$66*Inputs!W20</f>
        <v>0</v>
      </c>
      <c r="X76" s="22">
        <f>X$66*Inputs!X20</f>
        <v>0</v>
      </c>
      <c r="Y76" s="22">
        <f>Y$66*Inputs!Y20</f>
        <v>0</v>
      </c>
      <c r="Z76" s="22">
        <f>Z$66*Inputs!Z20</f>
        <v>0</v>
      </c>
      <c r="AA76" s="22">
        <f>AA$66*Inputs!AA20</f>
        <v>0</v>
      </c>
      <c r="AB76" s="22">
        <f>AB$66*Inputs!AB20</f>
        <v>0</v>
      </c>
      <c r="AC76" s="22">
        <f>AC$66*Inputs!AC20</f>
        <v>0</v>
      </c>
      <c r="AE76" s="26">
        <f t="shared" si="34"/>
        <v>1099658.6000000001</v>
      </c>
    </row>
    <row r="77" spans="1:31">
      <c r="B77" s="376"/>
      <c r="C77" t="str">
        <f>C46</f>
        <v>P loss</v>
      </c>
      <c r="D77" t="str">
        <f>D46</f>
        <v>kg</v>
      </c>
      <c r="E77" s="22">
        <f>E$66*Inputs!E21</f>
        <v>1644.3000000000002</v>
      </c>
      <c r="F77" s="22">
        <f>F$66*Inputs!F21</f>
        <v>8480.7000000000007</v>
      </c>
      <c r="G77" s="22">
        <f>G$66*Inputs!G21</f>
        <v>2247.4</v>
      </c>
      <c r="H77" s="22">
        <f>H$66*Inputs!H21</f>
        <v>43622</v>
      </c>
      <c r="I77" s="22">
        <f>I$66*Inputs!I21</f>
        <v>550</v>
      </c>
      <c r="J77" s="22">
        <f>J$66*Inputs!J21</f>
        <v>2512</v>
      </c>
      <c r="K77" s="22">
        <f>K$66*Inputs!K21</f>
        <v>34.799999999999997</v>
      </c>
      <c r="L77" s="22">
        <f>L$66*Inputs!L21</f>
        <v>249.6</v>
      </c>
      <c r="M77" s="22">
        <f>M$66*Inputs!M21</f>
        <v>412.8</v>
      </c>
      <c r="N77" s="22">
        <f>N$66*Inputs!N21</f>
        <v>1223.5</v>
      </c>
      <c r="O77" s="22">
        <f>O$66*Inputs!O21</f>
        <v>365.5</v>
      </c>
      <c r="P77" s="22">
        <f>P$66*Inputs!P21</f>
        <v>710.6</v>
      </c>
      <c r="Q77" s="58">
        <f>Q$66*Inputs!Q21</f>
        <v>445.90000000000003</v>
      </c>
      <c r="R77" s="58">
        <f>R$66*Inputs!R21</f>
        <v>1.4000000000000001</v>
      </c>
      <c r="S77" s="22">
        <f>S$66*Inputs!S21</f>
        <v>0</v>
      </c>
      <c r="T77" s="22">
        <f>T$66*Inputs!T21</f>
        <v>0</v>
      </c>
      <c r="U77" s="22">
        <f>U$66*Inputs!U21</f>
        <v>0</v>
      </c>
      <c r="V77" s="22">
        <f>V$66*Inputs!V21</f>
        <v>0</v>
      </c>
      <c r="W77" s="22">
        <f>W$66*Inputs!W21</f>
        <v>0</v>
      </c>
      <c r="X77" s="22">
        <f>X$66*Inputs!X21</f>
        <v>0</v>
      </c>
      <c r="Y77" s="22">
        <f>Y$66*Inputs!Y21</f>
        <v>0</v>
      </c>
      <c r="Z77" s="22">
        <f>Z$66*Inputs!Z21</f>
        <v>0</v>
      </c>
      <c r="AA77" s="22">
        <f>AA$66*Inputs!AA21</f>
        <v>0</v>
      </c>
      <c r="AB77" s="22">
        <f>AB$66*Inputs!AB21</f>
        <v>0</v>
      </c>
      <c r="AC77" s="22">
        <f>AC$66*Inputs!AC21</f>
        <v>0</v>
      </c>
      <c r="AE77" s="26">
        <f>SUM(E77:AC77)</f>
        <v>62500.500000000007</v>
      </c>
    </row>
    <row r="78" spans="1:31" s="23" customFormat="1">
      <c r="B78" s="376"/>
      <c r="C78" s="23" t="str">
        <f>C47</f>
        <v>Sediment loss</v>
      </c>
      <c r="D78" s="23" t="str">
        <f>D47</f>
        <v>Scoring</v>
      </c>
      <c r="E78" s="58">
        <f>E$66*Inputs!E22</f>
        <v>1827</v>
      </c>
      <c r="F78" s="58">
        <f>F$66*Inputs!F22</f>
        <v>15705</v>
      </c>
      <c r="G78" s="58">
        <f>G$66*Inputs!G22</f>
        <v>1322</v>
      </c>
      <c r="H78" s="58">
        <f>H$66*Inputs!H22</f>
        <v>51320</v>
      </c>
      <c r="I78" s="58">
        <f>I$66*Inputs!I22</f>
        <v>550</v>
      </c>
      <c r="J78" s="58">
        <f>J$66*Inputs!J22</f>
        <v>5024</v>
      </c>
      <c r="K78" s="58">
        <f>K$66*Inputs!K22</f>
        <v>87</v>
      </c>
      <c r="L78" s="58">
        <f>L$66*Inputs!L22</f>
        <v>1040</v>
      </c>
      <c r="M78" s="58">
        <f>M$66*Inputs!M22</f>
        <v>344</v>
      </c>
      <c r="N78" s="58">
        <f>N$66*Inputs!N22</f>
        <v>17129</v>
      </c>
      <c r="O78" s="58">
        <f>O$66*Inputs!O22</f>
        <v>5848</v>
      </c>
      <c r="P78" s="58">
        <f>P$66*Inputs!P22</f>
        <v>56848</v>
      </c>
      <c r="Q78" s="58">
        <f>Q$66*Inputs!Q22</f>
        <v>40131</v>
      </c>
      <c r="R78" s="58">
        <f>R$66*Inputs!R22</f>
        <v>140</v>
      </c>
      <c r="S78" s="58">
        <f>S$66*Inputs!S22</f>
        <v>0</v>
      </c>
      <c r="T78" s="58">
        <f>T$66*Inputs!T22</f>
        <v>1790</v>
      </c>
      <c r="U78" s="58">
        <f>U$66*Inputs!U22</f>
        <v>2436</v>
      </c>
      <c r="V78" s="58">
        <f>V$66*Inputs!V22</f>
        <v>96</v>
      </c>
      <c r="W78" s="58">
        <f>W$66*Inputs!W22</f>
        <v>4206</v>
      </c>
      <c r="X78" s="58">
        <f>X$66*Inputs!X22</f>
        <v>0</v>
      </c>
      <c r="Y78" s="58">
        <f>Y$66*Inputs!Y22</f>
        <v>0</v>
      </c>
      <c r="Z78" s="58">
        <f>Z$66*Inputs!Z22</f>
        <v>1160</v>
      </c>
      <c r="AA78" s="58">
        <f>AA$66*Inputs!AA22</f>
        <v>0</v>
      </c>
      <c r="AB78" s="58">
        <f>AB$66*Inputs!AB22</f>
        <v>0</v>
      </c>
      <c r="AC78" s="58">
        <f>AC$66*Inputs!AC22</f>
        <v>0</v>
      </c>
      <c r="AE78" s="134">
        <f t="shared" si="34"/>
        <v>207003</v>
      </c>
    </row>
    <row r="79" spans="1:31">
      <c r="B79" s="376"/>
      <c r="C79" t="str">
        <f>C48</f>
        <v>E.coli loss</v>
      </c>
      <c r="D79" t="s">
        <v>84</v>
      </c>
      <c r="E79" s="22">
        <f>E$66*Inputs!E23</f>
        <v>1218</v>
      </c>
      <c r="F79" s="22">
        <f>F$66*Inputs!F23</f>
        <v>12564</v>
      </c>
      <c r="G79" s="22">
        <f>G$66*Inputs!G23</f>
        <v>1322</v>
      </c>
      <c r="H79" s="22">
        <f>H$66*Inputs!H23</f>
        <v>25660</v>
      </c>
      <c r="I79" s="22">
        <f>I$66*Inputs!I23</f>
        <v>550</v>
      </c>
      <c r="J79" s="22">
        <f>J$66*Inputs!J23</f>
        <v>2512</v>
      </c>
      <c r="K79" s="22">
        <f>K$66*Inputs!K23</f>
        <v>116</v>
      </c>
      <c r="L79" s="22">
        <f>L$66*Inputs!L23</f>
        <v>832</v>
      </c>
      <c r="M79" s="22">
        <f>M$66*Inputs!M23</f>
        <v>1032</v>
      </c>
      <c r="N79" s="22">
        <f>N$66*Inputs!N23</f>
        <v>14682</v>
      </c>
      <c r="O79" s="22">
        <f>O$66*Inputs!O23</f>
        <v>4386</v>
      </c>
      <c r="P79" s="22">
        <f>P$66*Inputs!P23</f>
        <v>28424</v>
      </c>
      <c r="Q79" s="58">
        <f>Q$66*Inputs!Q23</f>
        <v>35672</v>
      </c>
      <c r="R79" s="58">
        <f>R$66*Inputs!R23</f>
        <v>112</v>
      </c>
      <c r="S79" s="22">
        <f>S$66*Inputs!S23</f>
        <v>0</v>
      </c>
      <c r="T79" s="22">
        <f>T$66*Inputs!T23</f>
        <v>1074</v>
      </c>
      <c r="U79" s="22">
        <f>U$66*Inputs!U23</f>
        <v>2436</v>
      </c>
      <c r="V79" s="22">
        <f>V$66*Inputs!V23</f>
        <v>96</v>
      </c>
      <c r="W79" s="22">
        <f>W$66*Inputs!W23</f>
        <v>2804</v>
      </c>
      <c r="X79" s="22">
        <f>X$66*Inputs!X23</f>
        <v>0</v>
      </c>
      <c r="Y79" s="22">
        <f>Y$66*Inputs!Y23</f>
        <v>0</v>
      </c>
      <c r="Z79" s="22">
        <f>Z$66*Inputs!Z23</f>
        <v>1160</v>
      </c>
      <c r="AA79" s="22">
        <f>AA$66*Inputs!AA23</f>
        <v>0</v>
      </c>
      <c r="AB79" s="22">
        <f>AB$66*Inputs!AB23</f>
        <v>0</v>
      </c>
      <c r="AC79" s="22">
        <f>AC$66*Inputs!AC23</f>
        <v>0</v>
      </c>
      <c r="AE79" s="26">
        <f>SUM(E79:AC79)</f>
        <v>136652</v>
      </c>
    </row>
    <row r="80" spans="1:31">
      <c r="B80" s="376"/>
      <c r="C80" t="str">
        <f>C49</f>
        <v>River water quality</v>
      </c>
      <c r="D80" t="str">
        <f>D49</f>
        <v>Scoring</v>
      </c>
      <c r="E80" s="22">
        <f>E$66*Inputs!E24</f>
        <v>2436</v>
      </c>
      <c r="F80" s="22">
        <f>F$66*Inputs!F24</f>
        <v>12564</v>
      </c>
      <c r="G80" s="22">
        <f>G$66*Inputs!G24</f>
        <v>1322</v>
      </c>
      <c r="H80" s="22">
        <f>H$66*Inputs!H24</f>
        <v>51320</v>
      </c>
      <c r="I80" s="22">
        <f>I$66*Inputs!I24</f>
        <v>550</v>
      </c>
      <c r="J80" s="22">
        <f>J$66*Inputs!J24</f>
        <v>5024</v>
      </c>
      <c r="K80" s="22">
        <f>K$66*Inputs!K24</f>
        <v>58</v>
      </c>
      <c r="L80" s="22">
        <f>L$66*Inputs!L24</f>
        <v>832</v>
      </c>
      <c r="M80" s="22">
        <f>M$66*Inputs!M24</f>
        <v>688</v>
      </c>
      <c r="N80" s="22">
        <f>N$66*Inputs!N24</f>
        <v>9788</v>
      </c>
      <c r="O80" s="22">
        <f>O$66*Inputs!O24</f>
        <v>2924</v>
      </c>
      <c r="P80" s="22">
        <f>P$66*Inputs!P24</f>
        <v>56848</v>
      </c>
      <c r="Q80" s="58">
        <f>Q$66*Inputs!Q24</f>
        <v>44590</v>
      </c>
      <c r="R80" s="58">
        <f>R$66*Inputs!R24</f>
        <v>140</v>
      </c>
      <c r="S80" s="22">
        <f>S$66*Inputs!S24</f>
        <v>0</v>
      </c>
      <c r="T80" s="22">
        <f>T$66*Inputs!T24</f>
        <v>1432</v>
      </c>
      <c r="U80" s="22">
        <f>U$66*Inputs!U24</f>
        <v>2436</v>
      </c>
      <c r="V80" s="22">
        <f>V$66*Inputs!V24</f>
        <v>48</v>
      </c>
      <c r="W80" s="22">
        <f>W$66*Inputs!W24</f>
        <v>2804</v>
      </c>
      <c r="X80" s="22">
        <f>X$66*Inputs!X24</f>
        <v>0</v>
      </c>
      <c r="Y80" s="22">
        <f>Y$66*Inputs!Y24</f>
        <v>0</v>
      </c>
      <c r="Z80" s="22">
        <f>Z$66*Inputs!Z24</f>
        <v>1450</v>
      </c>
      <c r="AA80" s="22">
        <f>AA$66*Inputs!AA24</f>
        <v>0</v>
      </c>
      <c r="AB80" s="22">
        <f>AB$66*Inputs!AB24</f>
        <v>0</v>
      </c>
      <c r="AC80" s="22">
        <f>AC$66*Inputs!AC24</f>
        <v>0</v>
      </c>
      <c r="AE80" s="26">
        <f t="shared" si="34"/>
        <v>197254</v>
      </c>
    </row>
    <row r="81" spans="2:31">
      <c r="B81" s="376"/>
      <c r="C81" t="str">
        <f t="shared" ref="C81:C84" si="36">C50</f>
        <v>Freshwater invertebrates</v>
      </c>
      <c r="D81" t="str">
        <f t="shared" ref="D81:D84" si="37">D50</f>
        <v>Scoring</v>
      </c>
      <c r="E81" s="22">
        <f>E$66*Inputs!E25</f>
        <v>2436</v>
      </c>
      <c r="F81" s="22">
        <f>F$66*Inputs!F25</f>
        <v>18846</v>
      </c>
      <c r="G81" s="22">
        <f>G$66*Inputs!G25</f>
        <v>2644</v>
      </c>
      <c r="H81" s="22">
        <f>H$66*Inputs!H25</f>
        <v>51320</v>
      </c>
      <c r="I81" s="22">
        <f>I$66*Inputs!I25</f>
        <v>1100</v>
      </c>
      <c r="J81" s="22">
        <f>J$66*Inputs!J25</f>
        <v>5024</v>
      </c>
      <c r="K81" s="22">
        <f>K$66*Inputs!K25</f>
        <v>116</v>
      </c>
      <c r="L81" s="22">
        <f>L$66*Inputs!L25</f>
        <v>832</v>
      </c>
      <c r="M81" s="22">
        <f>M$66*Inputs!M25</f>
        <v>688</v>
      </c>
      <c r="N81" s="22">
        <f>N$66*Inputs!N25</f>
        <v>14682</v>
      </c>
      <c r="O81" s="22">
        <f>O$66*Inputs!O25</f>
        <v>4386</v>
      </c>
      <c r="P81" s="22">
        <f>P$66*Inputs!P25</f>
        <v>56848</v>
      </c>
      <c r="Q81" s="58">
        <f>Q$66*Inputs!Q25</f>
        <v>44590</v>
      </c>
      <c r="R81" s="58">
        <f>R$66*Inputs!R25</f>
        <v>140</v>
      </c>
      <c r="S81" s="22">
        <f>S$66*Inputs!S25</f>
        <v>0</v>
      </c>
      <c r="T81" s="22">
        <f>T$66*Inputs!T25</f>
        <v>1790</v>
      </c>
      <c r="U81" s="22">
        <f>U$66*Inputs!U25</f>
        <v>1218</v>
      </c>
      <c r="V81" s="22">
        <f>V$66*Inputs!V25</f>
        <v>144</v>
      </c>
      <c r="W81" s="22">
        <f>W$66*Inputs!W25</f>
        <v>4206</v>
      </c>
      <c r="X81" s="22">
        <f>X$66*Inputs!X25</f>
        <v>0</v>
      </c>
      <c r="Y81" s="22">
        <f>Y$66*Inputs!Y25</f>
        <v>0</v>
      </c>
      <c r="Z81" s="22">
        <f>Z$66*Inputs!Z25</f>
        <v>1160</v>
      </c>
      <c r="AA81" s="22">
        <f>AA$66*Inputs!AA25</f>
        <v>0</v>
      </c>
      <c r="AB81" s="22">
        <f>AB$66*Inputs!AB25</f>
        <v>0</v>
      </c>
      <c r="AC81" s="22">
        <f>AC$66*Inputs!AC25</f>
        <v>0</v>
      </c>
      <c r="AE81" s="26">
        <f t="shared" si="34"/>
        <v>212170</v>
      </c>
    </row>
    <row r="82" spans="2:31">
      <c r="B82" s="376"/>
      <c r="C82" t="str">
        <f t="shared" si="36"/>
        <v>Estuarine health</v>
      </c>
      <c r="D82" t="str">
        <f t="shared" si="37"/>
        <v>Scoring</v>
      </c>
      <c r="E82" s="22">
        <f>E$66*Inputs!E26</f>
        <v>2436</v>
      </c>
      <c r="F82" s="22">
        <f>F$66*Inputs!F26</f>
        <v>18846</v>
      </c>
      <c r="G82" s="22">
        <f>G$66*Inputs!G26</f>
        <v>1322</v>
      </c>
      <c r="H82" s="22">
        <f>H$66*Inputs!H26</f>
        <v>51320</v>
      </c>
      <c r="I82" s="22">
        <f>I$66*Inputs!I26</f>
        <v>550</v>
      </c>
      <c r="J82" s="22">
        <f>J$66*Inputs!J26</f>
        <v>5024</v>
      </c>
      <c r="K82" s="22">
        <f>K$66*Inputs!K26</f>
        <v>116</v>
      </c>
      <c r="L82" s="22">
        <f>L$66*Inputs!L26</f>
        <v>1248</v>
      </c>
      <c r="M82" s="22">
        <f>M$66*Inputs!M26</f>
        <v>344</v>
      </c>
      <c r="N82" s="22">
        <f>N$66*Inputs!N26</f>
        <v>14682</v>
      </c>
      <c r="O82" s="22">
        <f>O$66*Inputs!O26</f>
        <v>5848</v>
      </c>
      <c r="P82" s="22">
        <f>P$66*Inputs!P26</f>
        <v>56848</v>
      </c>
      <c r="Q82" s="58">
        <f>Q$66*Inputs!Q26</f>
        <v>44590</v>
      </c>
      <c r="R82" s="58">
        <f>R$66*Inputs!R26</f>
        <v>140</v>
      </c>
      <c r="S82" s="22">
        <f>S$66*Inputs!S26</f>
        <v>0</v>
      </c>
      <c r="T82" s="22">
        <f>T$66*Inputs!T26</f>
        <v>1790</v>
      </c>
      <c r="U82" s="22">
        <f>U$66*Inputs!U26</f>
        <v>2436</v>
      </c>
      <c r="V82" s="22">
        <f>V$66*Inputs!V26</f>
        <v>96</v>
      </c>
      <c r="W82" s="22">
        <f>W$66*Inputs!W26</f>
        <v>4206</v>
      </c>
      <c r="X82" s="22">
        <f>X$66*Inputs!X26</f>
        <v>0</v>
      </c>
      <c r="Y82" s="22">
        <f>Y$66*Inputs!Y26</f>
        <v>0</v>
      </c>
      <c r="Z82" s="22">
        <f>Z$66*Inputs!Z26</f>
        <v>1160</v>
      </c>
      <c r="AA82" s="22">
        <f>AA$66*Inputs!AA26</f>
        <v>0</v>
      </c>
      <c r="AB82" s="22">
        <f>AB$66*Inputs!AB26</f>
        <v>0</v>
      </c>
      <c r="AC82" s="22">
        <f>AC$66*Inputs!AC26</f>
        <v>0</v>
      </c>
      <c r="AE82" s="26">
        <f t="shared" si="34"/>
        <v>213002</v>
      </c>
    </row>
    <row r="83" spans="2:31">
      <c r="B83" s="376"/>
      <c r="C83" t="str">
        <f t="shared" si="36"/>
        <v>Groundwater quality</v>
      </c>
      <c r="D83" t="str">
        <f t="shared" si="37"/>
        <v>Scoring</v>
      </c>
      <c r="E83" s="22">
        <f>E$66*Inputs!E27</f>
        <v>2436</v>
      </c>
      <c r="F83" s="22">
        <f>F$66*Inputs!F27</f>
        <v>12564</v>
      </c>
      <c r="G83" s="22">
        <f>G$66*Inputs!G27</f>
        <v>2644</v>
      </c>
      <c r="H83" s="22">
        <f>H$66*Inputs!H27</f>
        <v>25660</v>
      </c>
      <c r="I83" s="22">
        <f>I$66*Inputs!I27</f>
        <v>1100</v>
      </c>
      <c r="J83" s="22">
        <f>J$66*Inputs!J27</f>
        <v>2512</v>
      </c>
      <c r="K83" s="22">
        <f>K$66*Inputs!K27</f>
        <v>116</v>
      </c>
      <c r="L83" s="22">
        <f>L$66*Inputs!L27</f>
        <v>832</v>
      </c>
      <c r="M83" s="22">
        <f>M$66*Inputs!M27</f>
        <v>344</v>
      </c>
      <c r="N83" s="22">
        <f>N$66*Inputs!N27</f>
        <v>9788</v>
      </c>
      <c r="O83" s="22">
        <f>O$66*Inputs!O27</f>
        <v>2924</v>
      </c>
      <c r="P83" s="22">
        <f>P$66*Inputs!P27</f>
        <v>56848</v>
      </c>
      <c r="Q83" s="58">
        <f>Q$66*Inputs!Q27</f>
        <v>44590</v>
      </c>
      <c r="R83" s="58">
        <f>R$66*Inputs!R27</f>
        <v>140</v>
      </c>
      <c r="S83" s="22">
        <f>S$66*Inputs!S27</f>
        <v>0</v>
      </c>
      <c r="T83" s="22">
        <f>T$66*Inputs!T27</f>
        <v>1790</v>
      </c>
      <c r="U83" s="22">
        <f>U$66*Inputs!U27</f>
        <v>2436</v>
      </c>
      <c r="V83" s="22">
        <f>V$66*Inputs!V27</f>
        <v>96</v>
      </c>
      <c r="W83" s="22">
        <f>W$66*Inputs!W27</f>
        <v>2804</v>
      </c>
      <c r="X83" s="22">
        <f>X$66*Inputs!X27</f>
        <v>636</v>
      </c>
      <c r="Y83" s="22">
        <f>Y$66*Inputs!Y27</f>
        <v>180</v>
      </c>
      <c r="Z83" s="22">
        <f>Z$66*Inputs!Z27</f>
        <v>1160</v>
      </c>
      <c r="AA83" s="22">
        <f>AA$66*Inputs!AA27</f>
        <v>0</v>
      </c>
      <c r="AB83" s="22">
        <f>AB$66*Inputs!AB27</f>
        <v>0</v>
      </c>
      <c r="AC83" s="22">
        <f>AC$66*Inputs!AC27</f>
        <v>0</v>
      </c>
      <c r="AE83" s="26">
        <f t="shared" si="34"/>
        <v>171600</v>
      </c>
    </row>
    <row r="84" spans="2:31">
      <c r="B84" s="376"/>
      <c r="C84" t="str">
        <f t="shared" si="36"/>
        <v>Pressure on water quantity</v>
      </c>
      <c r="D84" t="str">
        <f t="shared" si="37"/>
        <v>Scoring</v>
      </c>
      <c r="E84" s="22">
        <f>E$66*Inputs!E28</f>
        <v>6090</v>
      </c>
      <c r="F84" s="22">
        <f>F$66*Inputs!F28</f>
        <v>31410</v>
      </c>
      <c r="G84" s="22">
        <f>G$66*Inputs!G28</f>
        <v>5949</v>
      </c>
      <c r="H84" s="22">
        <f>H$66*Inputs!H28</f>
        <v>115470</v>
      </c>
      <c r="I84" s="22">
        <f>I$66*Inputs!I28</f>
        <v>2750</v>
      </c>
      <c r="J84" s="22">
        <f>J$66*Inputs!J28</f>
        <v>12560</v>
      </c>
      <c r="K84" s="22">
        <f>K$66*Inputs!K28</f>
        <v>290</v>
      </c>
      <c r="L84" s="22">
        <f>L$66*Inputs!L28</f>
        <v>2080</v>
      </c>
      <c r="M84" s="22">
        <f>M$66*Inputs!M28</f>
        <v>1720</v>
      </c>
      <c r="N84" s="22">
        <f>N$66*Inputs!N28</f>
        <v>19576</v>
      </c>
      <c r="O84" s="22">
        <f>O$66*Inputs!O28</f>
        <v>5848</v>
      </c>
      <c r="P84" s="22">
        <f>P$66*Inputs!P28</f>
        <v>71060</v>
      </c>
      <c r="Q84" s="22">
        <f>Q$66*Inputs!Q28</f>
        <v>44590</v>
      </c>
      <c r="R84" s="22">
        <f>R$66*Inputs!R28</f>
        <v>140</v>
      </c>
      <c r="S84" s="22">
        <f>S$66*Inputs!S28</f>
        <v>0</v>
      </c>
      <c r="T84" s="22">
        <f>T$66*Inputs!T28</f>
        <v>1790</v>
      </c>
      <c r="U84" s="22">
        <f>U$66*Inputs!U28</f>
        <v>4872</v>
      </c>
      <c r="V84" s="22">
        <f>V$66*Inputs!V28</f>
        <v>240</v>
      </c>
      <c r="W84" s="22">
        <f>W$66*Inputs!W28</f>
        <v>7010</v>
      </c>
      <c r="X84" s="22">
        <f>X$66*Inputs!X28</f>
        <v>0</v>
      </c>
      <c r="Y84" s="22">
        <f>Y$66*Inputs!Y28</f>
        <v>300</v>
      </c>
      <c r="Z84" s="22">
        <f>Z$66*Inputs!Z28</f>
        <v>1450</v>
      </c>
      <c r="AA84" s="22">
        <f>AA$66*Inputs!AA28</f>
        <v>0</v>
      </c>
      <c r="AB84" s="22">
        <f>AB$66*Inputs!AB28</f>
        <v>0</v>
      </c>
      <c r="AC84" s="22">
        <f>AC$66*Inputs!AC28</f>
        <v>0</v>
      </c>
      <c r="AE84" s="26">
        <f t="shared" si="34"/>
        <v>335195</v>
      </c>
    </row>
    <row r="85" spans="2:31">
      <c r="B85" s="376"/>
      <c r="C85" t="str">
        <f t="shared" ref="C85:C93" si="38">C54</f>
        <v>Soil quality</v>
      </c>
      <c r="D85" t="str">
        <f t="shared" ref="D85:D87" si="39">D54</f>
        <v>Scoring</v>
      </c>
      <c r="E85" s="22">
        <f>E$66*Inputs!E29</f>
        <v>4872</v>
      </c>
      <c r="F85" s="22">
        <f>F$66*Inputs!F29</f>
        <v>25128</v>
      </c>
      <c r="G85" s="22">
        <f>G$66*Inputs!G29</f>
        <v>4627</v>
      </c>
      <c r="H85" s="22">
        <f>H$66*Inputs!H29</f>
        <v>89810</v>
      </c>
      <c r="I85" s="22">
        <f>I$66*Inputs!I29</f>
        <v>1925</v>
      </c>
      <c r="J85" s="22">
        <f>J$66*Inputs!J29</f>
        <v>8792</v>
      </c>
      <c r="K85" s="22">
        <f>K$66*Inputs!K29</f>
        <v>232</v>
      </c>
      <c r="L85" s="22">
        <f>L$66*Inputs!L29</f>
        <v>1664</v>
      </c>
      <c r="M85" s="22">
        <f>M$66*Inputs!M29</f>
        <v>516</v>
      </c>
      <c r="N85" s="22">
        <f>N$66*Inputs!N29</f>
        <v>14682</v>
      </c>
      <c r="O85" s="22">
        <f>O$66*Inputs!O29</f>
        <v>4386</v>
      </c>
      <c r="P85" s="22">
        <f>P$66*Inputs!P29</f>
        <v>63954</v>
      </c>
      <c r="Q85" s="58">
        <f>Q$66*Inputs!Q29</f>
        <v>44590</v>
      </c>
      <c r="R85" s="58">
        <f>R$66*Inputs!R29</f>
        <v>140</v>
      </c>
      <c r="S85" s="22">
        <f>S$66*Inputs!S29</f>
        <v>0</v>
      </c>
      <c r="T85" s="22">
        <f>T$66*Inputs!T29</f>
        <v>1790</v>
      </c>
      <c r="U85" s="22">
        <f>U$66*Inputs!U29</f>
        <v>609</v>
      </c>
      <c r="V85" s="22">
        <f>V$66*Inputs!V29</f>
        <v>120</v>
      </c>
      <c r="W85" s="22">
        <f>W$66*Inputs!W29</f>
        <v>3505</v>
      </c>
      <c r="X85" s="22">
        <f>X$66*Inputs!X29</f>
        <v>0</v>
      </c>
      <c r="Y85" s="22">
        <f>Y$66*Inputs!Y29</f>
        <v>0</v>
      </c>
      <c r="Z85" s="22">
        <f>Z$66*Inputs!Z29</f>
        <v>1305</v>
      </c>
      <c r="AA85" s="22">
        <f>AA$66*Inputs!AA29</f>
        <v>0</v>
      </c>
      <c r="AB85" s="22">
        <f>AB$66*Inputs!AB29</f>
        <v>0</v>
      </c>
      <c r="AC85" s="22">
        <f>AC$66*Inputs!AC29</f>
        <v>0</v>
      </c>
      <c r="AE85" s="26">
        <f t="shared" si="34"/>
        <v>272647</v>
      </c>
    </row>
    <row r="86" spans="2:31">
      <c r="B86" s="376"/>
      <c r="C86" t="str">
        <f t="shared" si="38"/>
        <v>Biodiversity</v>
      </c>
      <c r="D86" t="str">
        <f t="shared" si="39"/>
        <v>Scoring</v>
      </c>
      <c r="E86" s="22">
        <f>E$66*Inputs!E30</f>
        <v>2436</v>
      </c>
      <c r="F86" s="22">
        <f>F$66*Inputs!F30</f>
        <v>12564</v>
      </c>
      <c r="G86" s="22">
        <f>G$66*Inputs!G30</f>
        <v>1983</v>
      </c>
      <c r="H86" s="22">
        <f>H$66*Inputs!H30</f>
        <v>38490</v>
      </c>
      <c r="I86" s="22">
        <f>I$66*Inputs!I30</f>
        <v>1100</v>
      </c>
      <c r="J86" s="22">
        <f>J$66*Inputs!J30</f>
        <v>5024</v>
      </c>
      <c r="K86" s="22">
        <f>K$66*Inputs!K30</f>
        <v>116</v>
      </c>
      <c r="L86" s="22">
        <f>L$66*Inputs!L30</f>
        <v>832</v>
      </c>
      <c r="M86" s="22">
        <f>M$66*Inputs!M30</f>
        <v>344</v>
      </c>
      <c r="N86" s="22">
        <f>N$66*Inputs!N30</f>
        <v>7341</v>
      </c>
      <c r="O86" s="22">
        <f>O$66*Inputs!O30</f>
        <v>2193</v>
      </c>
      <c r="P86" s="22">
        <f>P$66*Inputs!P30</f>
        <v>49742</v>
      </c>
      <c r="Q86" s="58">
        <f>Q$66*Inputs!Q30</f>
        <v>44590</v>
      </c>
      <c r="R86" s="58">
        <f>R$66*Inputs!R30</f>
        <v>140</v>
      </c>
      <c r="S86" s="22">
        <f>S$66*Inputs!S30</f>
        <v>0</v>
      </c>
      <c r="T86" s="22">
        <f>T$66*Inputs!T30</f>
        <v>1790</v>
      </c>
      <c r="U86" s="22">
        <f>U$66*Inputs!U30</f>
        <v>609</v>
      </c>
      <c r="V86" s="22">
        <f>V$66*Inputs!V30</f>
        <v>120</v>
      </c>
      <c r="W86" s="22">
        <f>W$66*Inputs!W30</f>
        <v>3505</v>
      </c>
      <c r="X86" s="22">
        <f>X$66*Inputs!X30</f>
        <v>1060</v>
      </c>
      <c r="Y86" s="22">
        <f>Y$66*Inputs!Y30</f>
        <v>0</v>
      </c>
      <c r="Z86" s="22">
        <f>Z$66*Inputs!Z30</f>
        <v>1160</v>
      </c>
      <c r="AA86" s="22">
        <f>AA$66*Inputs!AA30</f>
        <v>0</v>
      </c>
      <c r="AB86" s="22">
        <f>AB$66*Inputs!AB30</f>
        <v>0</v>
      </c>
      <c r="AC86" s="22">
        <f>AC$66*Inputs!AC30</f>
        <v>0</v>
      </c>
      <c r="AE86" s="26">
        <f t="shared" si="34"/>
        <v>175139</v>
      </c>
    </row>
    <row r="87" spans="2:31">
      <c r="B87" s="376"/>
      <c r="C87" t="str">
        <f t="shared" si="38"/>
        <v>GHG emissions</v>
      </c>
      <c r="D87" t="str">
        <f t="shared" si="39"/>
        <v>tCO2-e</v>
      </c>
      <c r="E87" s="22">
        <f>E$66*Inputs!E31</f>
        <v>763.53374999999994</v>
      </c>
      <c r="F87" s="22">
        <f>F$66*Inputs!F31</f>
        <v>7876.0574999999999</v>
      </c>
      <c r="G87" s="22">
        <f>G$66*Inputs!G31</f>
        <v>2709.4390000000003</v>
      </c>
      <c r="H87" s="22">
        <f>H$66*Inputs!H31</f>
        <v>105180.34000000001</v>
      </c>
      <c r="I87" s="22">
        <f>I$66*Inputs!I31</f>
        <v>743.32500000000005</v>
      </c>
      <c r="J87" s="22">
        <f>J$66*Inputs!J31</f>
        <v>6789.9360000000006</v>
      </c>
      <c r="K87" s="22">
        <f>K$66*Inputs!K31</f>
        <v>137.75</v>
      </c>
      <c r="L87" s="22">
        <f>L$66*Inputs!L31</f>
        <v>1976</v>
      </c>
      <c r="M87" s="22">
        <f>M$66*Inputs!M31</f>
        <v>533.20000000000005</v>
      </c>
      <c r="N87" s="22">
        <f>N$66*Inputs!N31</f>
        <v>3058.75</v>
      </c>
      <c r="O87" s="22">
        <f>O$66*Inputs!O31</f>
        <v>384.50600000000003</v>
      </c>
      <c r="P87" s="22">
        <f>P$66*Inputs!P31</f>
        <v>-259830.88999999998</v>
      </c>
      <c r="Q87" s="58">
        <f>Q$66*Inputs!Q31</f>
        <v>0</v>
      </c>
      <c r="R87" s="58">
        <f>R$66*Inputs!R31</f>
        <v>-111.622</v>
      </c>
      <c r="S87" s="22">
        <f>S$66*Inputs!S31</f>
        <v>0</v>
      </c>
      <c r="T87" s="22">
        <f>T$66*Inputs!T31</f>
        <v>-304.3</v>
      </c>
      <c r="U87" s="22">
        <f>U$66*Inputs!U31</f>
        <v>68817</v>
      </c>
      <c r="V87" s="22">
        <f>V$66*Inputs!V31</f>
        <v>15.044999999999998</v>
      </c>
      <c r="W87" s="22">
        <f>W$66*Inputs!W31</f>
        <v>878.87874999999997</v>
      </c>
      <c r="X87" s="22">
        <f>X$66*Inputs!X31</f>
        <v>0</v>
      </c>
      <c r="Y87" s="22">
        <f>Y$66*Inputs!Y31</f>
        <v>0</v>
      </c>
      <c r="Z87" s="22">
        <f>Z$66*Inputs!Z31</f>
        <v>-578.04250000000002</v>
      </c>
      <c r="AA87" s="22">
        <f>AA$66*Inputs!AA31</f>
        <v>0</v>
      </c>
      <c r="AB87" s="22">
        <f>AB$66*Inputs!AB31</f>
        <v>0</v>
      </c>
      <c r="AC87" s="22">
        <f>AC$66*Inputs!AC31</f>
        <v>0</v>
      </c>
      <c r="AE87" s="26">
        <f t="shared" si="34"/>
        <v>-60961.093499999995</v>
      </c>
    </row>
    <row r="88" spans="2:31">
      <c r="B88" s="378" t="s">
        <v>95</v>
      </c>
      <c r="C88" t="str">
        <f t="shared" si="38"/>
        <v>Connection to nature</v>
      </c>
      <c r="D88" t="str">
        <f t="shared" ref="D88:D93" si="40">D57</f>
        <v>Scoring</v>
      </c>
      <c r="E88" s="22">
        <f>E$66*Inputs!E32</f>
        <v>6090</v>
      </c>
      <c r="F88" s="22">
        <f>F$66*Inputs!F32</f>
        <v>31410</v>
      </c>
      <c r="G88" s="22">
        <f>G$66*Inputs!G32</f>
        <v>6610</v>
      </c>
      <c r="H88" s="22">
        <f>H$66*Inputs!H32</f>
        <v>128300</v>
      </c>
      <c r="I88" s="22">
        <f>I$66*Inputs!I32</f>
        <v>2750</v>
      </c>
      <c r="J88" s="22">
        <f>J$66*Inputs!J32</f>
        <v>12560</v>
      </c>
      <c r="K88" s="22">
        <f>K$66*Inputs!K32</f>
        <v>290</v>
      </c>
      <c r="L88" s="22">
        <f>L$66*Inputs!L32</f>
        <v>2080</v>
      </c>
      <c r="M88" s="22">
        <f>M$66*Inputs!M32</f>
        <v>1720</v>
      </c>
      <c r="N88" s="22">
        <f>N$66*Inputs!N32</f>
        <v>24470</v>
      </c>
      <c r="O88" s="22">
        <f>O$66*Inputs!O32</f>
        <v>7310</v>
      </c>
      <c r="P88" s="22">
        <f>P$66*Inputs!P32</f>
        <v>56848</v>
      </c>
      <c r="Q88" s="58">
        <f>Q$66*Inputs!Q32</f>
        <v>44590</v>
      </c>
      <c r="R88" s="58">
        <f>R$66*Inputs!R32</f>
        <v>140</v>
      </c>
      <c r="S88" s="22">
        <f>S$66*Inputs!S32</f>
        <v>0</v>
      </c>
      <c r="T88" s="22">
        <f>T$66*Inputs!T32</f>
        <v>1790</v>
      </c>
      <c r="U88" s="22">
        <f>U$66*Inputs!U32</f>
        <v>1827</v>
      </c>
      <c r="V88" s="22">
        <f>V$66*Inputs!V32</f>
        <v>240</v>
      </c>
      <c r="W88" s="22">
        <f>W$66*Inputs!W32</f>
        <v>7010</v>
      </c>
      <c r="X88" s="22">
        <f>X$66*Inputs!X32</f>
        <v>0</v>
      </c>
      <c r="Y88" s="22">
        <f>Y$66*Inputs!Y32</f>
        <v>0</v>
      </c>
      <c r="Z88" s="22">
        <f>Z$66*Inputs!Z32</f>
        <v>0</v>
      </c>
      <c r="AA88" s="22">
        <f>AA$66*Inputs!AA32</f>
        <v>0</v>
      </c>
      <c r="AB88" s="22">
        <f>AB$66*Inputs!AB32</f>
        <v>0</v>
      </c>
      <c r="AC88" s="22">
        <f>AC$66*Inputs!AC32</f>
        <v>0</v>
      </c>
      <c r="AE88" s="27">
        <f t="shared" si="34"/>
        <v>336035</v>
      </c>
    </row>
    <row r="89" spans="2:31">
      <c r="B89" s="378"/>
      <c r="C89" t="str">
        <f t="shared" si="38"/>
        <v>Access to basic amenities</v>
      </c>
      <c r="D89" t="str">
        <f t="shared" si="40"/>
        <v>Scoring</v>
      </c>
      <c r="E89" s="22">
        <f>E$66*Inputs!E33</f>
        <v>2436</v>
      </c>
      <c r="F89" s="22">
        <f>F$66*Inputs!F33</f>
        <v>12564</v>
      </c>
      <c r="G89" s="22">
        <f>G$66*Inputs!G33</f>
        <v>2644</v>
      </c>
      <c r="H89" s="22">
        <f>H$66*Inputs!H33</f>
        <v>51320</v>
      </c>
      <c r="I89" s="22">
        <f>I$66*Inputs!I33</f>
        <v>1100</v>
      </c>
      <c r="J89" s="22">
        <f>J$66*Inputs!J33</f>
        <v>5024</v>
      </c>
      <c r="K89" s="22">
        <f>K$66*Inputs!K33</f>
        <v>116</v>
      </c>
      <c r="L89" s="22">
        <f>L$66*Inputs!L33</f>
        <v>832</v>
      </c>
      <c r="M89" s="22">
        <f>M$66*Inputs!M33</f>
        <v>688</v>
      </c>
      <c r="N89" s="22">
        <f>N$66*Inputs!N33</f>
        <v>9788</v>
      </c>
      <c r="O89" s="22">
        <f>O$66*Inputs!O33</f>
        <v>2924</v>
      </c>
      <c r="P89" s="22">
        <f>P$66*Inputs!P33</f>
        <v>14212</v>
      </c>
      <c r="Q89" s="58">
        <f>Q$66*Inputs!Q33</f>
        <v>8918</v>
      </c>
      <c r="R89" s="58">
        <f>R$66*Inputs!R33</f>
        <v>28</v>
      </c>
      <c r="S89" s="22">
        <f>S$66*Inputs!S33</f>
        <v>0</v>
      </c>
      <c r="T89" s="22">
        <f>T$66*Inputs!T33</f>
        <v>358</v>
      </c>
      <c r="U89" s="22">
        <f>U$66*Inputs!U33</f>
        <v>5481</v>
      </c>
      <c r="V89" s="22">
        <f>V$66*Inputs!V33</f>
        <v>216</v>
      </c>
      <c r="W89" s="22">
        <f>W$66*Inputs!W33</f>
        <v>6309</v>
      </c>
      <c r="X89" s="22">
        <f>X$66*Inputs!X33</f>
        <v>0</v>
      </c>
      <c r="Y89" s="22">
        <f>Y$66*Inputs!Y33</f>
        <v>0</v>
      </c>
      <c r="Z89" s="22">
        <f>Z$66*Inputs!Z33</f>
        <v>0</v>
      </c>
      <c r="AA89" s="22">
        <f>AA$66*Inputs!AA33</f>
        <v>0</v>
      </c>
      <c r="AB89" s="22">
        <f>AB$66*Inputs!AB33</f>
        <v>0</v>
      </c>
      <c r="AC89" s="22">
        <f>AC$66*Inputs!AC33</f>
        <v>0</v>
      </c>
      <c r="AE89" s="27">
        <f t="shared" si="34"/>
        <v>124958</v>
      </c>
    </row>
    <row r="90" spans="2:31">
      <c r="B90" s="378"/>
      <c r="C90" t="str">
        <f t="shared" si="38"/>
        <v>Housing affordability</v>
      </c>
      <c r="D90" t="str">
        <f t="shared" si="40"/>
        <v>Scoring</v>
      </c>
      <c r="E90" s="22">
        <f>E$66*Inputs!E34</f>
        <v>2436</v>
      </c>
      <c r="F90" s="22">
        <f>F$66*Inputs!F34</f>
        <v>12564</v>
      </c>
      <c r="G90" s="22">
        <f>G$66*Inputs!G34</f>
        <v>2644</v>
      </c>
      <c r="H90" s="22">
        <f>H$66*Inputs!H34</f>
        <v>51320</v>
      </c>
      <c r="I90" s="22">
        <f>I$66*Inputs!I34</f>
        <v>1100</v>
      </c>
      <c r="J90" s="22">
        <f>J$66*Inputs!J34</f>
        <v>5024</v>
      </c>
      <c r="K90" s="22">
        <f>K$66*Inputs!K34</f>
        <v>116</v>
      </c>
      <c r="L90" s="22">
        <f>L$66*Inputs!L34</f>
        <v>832</v>
      </c>
      <c r="M90" s="22">
        <f>M$66*Inputs!M34</f>
        <v>688</v>
      </c>
      <c r="N90" s="22">
        <f>N$66*Inputs!N34</f>
        <v>7341</v>
      </c>
      <c r="O90" s="22">
        <f>O$66*Inputs!O34</f>
        <v>2193</v>
      </c>
      <c r="P90" s="22">
        <f>P$66*Inputs!P34</f>
        <v>21318</v>
      </c>
      <c r="Q90" s="58">
        <f>Q$66*Inputs!Q34</f>
        <v>0</v>
      </c>
      <c r="R90" s="58">
        <f>R$66*Inputs!R34</f>
        <v>0</v>
      </c>
      <c r="S90" s="22">
        <f>S$66*Inputs!S34</f>
        <v>0</v>
      </c>
      <c r="T90" s="22">
        <f>T$66*Inputs!T34</f>
        <v>0</v>
      </c>
      <c r="U90" s="22">
        <f>U$66*Inputs!U34</f>
        <v>4872</v>
      </c>
      <c r="V90" s="22">
        <f>V$66*Inputs!V34</f>
        <v>96</v>
      </c>
      <c r="W90" s="22">
        <f>W$66*Inputs!W34</f>
        <v>2804</v>
      </c>
      <c r="X90" s="22">
        <f>X$66*Inputs!X34</f>
        <v>0</v>
      </c>
      <c r="Y90" s="22">
        <f>Y$66*Inputs!Y34</f>
        <v>0</v>
      </c>
      <c r="Z90" s="22">
        <f>Z$66*Inputs!Z34</f>
        <v>0</v>
      </c>
      <c r="AA90" s="22">
        <f>AA$66*Inputs!AA34</f>
        <v>0</v>
      </c>
      <c r="AB90" s="22">
        <f>AB$66*Inputs!AB34</f>
        <v>0</v>
      </c>
      <c r="AC90" s="22">
        <f>AC$66*Inputs!AC34</f>
        <v>0</v>
      </c>
      <c r="AE90" s="27">
        <f t="shared" si="34"/>
        <v>115348</v>
      </c>
    </row>
    <row r="91" spans="2:31">
      <c r="B91" s="378"/>
      <c r="C91" t="str">
        <f t="shared" si="38"/>
        <v>Life satisfaction (current)</v>
      </c>
      <c r="D91" t="str">
        <f t="shared" si="40"/>
        <v>Scoring</v>
      </c>
      <c r="E91" s="22">
        <f>E$66*Inputs!E35</f>
        <v>4263</v>
      </c>
      <c r="F91" s="22">
        <f>F$66*Inputs!F35</f>
        <v>21987</v>
      </c>
      <c r="G91" s="22">
        <f>G$66*Inputs!G35</f>
        <v>4627</v>
      </c>
      <c r="H91" s="22">
        <f>H$66*Inputs!H35</f>
        <v>89810</v>
      </c>
      <c r="I91" s="22">
        <f>I$66*Inputs!I35</f>
        <v>1925</v>
      </c>
      <c r="J91" s="22">
        <f>J$66*Inputs!J35</f>
        <v>8792</v>
      </c>
      <c r="K91" s="22">
        <f>K$66*Inputs!K35</f>
        <v>203</v>
      </c>
      <c r="L91" s="22">
        <f>L$66*Inputs!L35</f>
        <v>1456</v>
      </c>
      <c r="M91" s="22">
        <f>M$66*Inputs!M35</f>
        <v>1204</v>
      </c>
      <c r="N91" s="22">
        <f>N$66*Inputs!N35</f>
        <v>17129</v>
      </c>
      <c r="O91" s="22">
        <f>O$66*Inputs!O35</f>
        <v>5117</v>
      </c>
      <c r="P91" s="22">
        <f>P$66*Inputs!P35</f>
        <v>42636</v>
      </c>
      <c r="Q91" s="58">
        <f>Q$66*Inputs!Q35</f>
        <v>26754</v>
      </c>
      <c r="R91" s="58">
        <f>R$66*Inputs!R35</f>
        <v>84</v>
      </c>
      <c r="S91" s="22">
        <f>S$66*Inputs!S35</f>
        <v>0</v>
      </c>
      <c r="T91" s="22">
        <f>T$66*Inputs!T35</f>
        <v>1432</v>
      </c>
      <c r="U91" s="22">
        <f>U$66*Inputs!U35</f>
        <v>3045</v>
      </c>
      <c r="V91" s="22">
        <f>V$66*Inputs!V35</f>
        <v>168</v>
      </c>
      <c r="W91" s="22">
        <f>W$66*Inputs!W35</f>
        <v>4907</v>
      </c>
      <c r="X91" s="22">
        <f>X$66*Inputs!X35</f>
        <v>0</v>
      </c>
      <c r="Y91" s="22">
        <f>Y$66*Inputs!Y35</f>
        <v>0</v>
      </c>
      <c r="Z91" s="22">
        <f>Z$66*Inputs!Z35</f>
        <v>0</v>
      </c>
      <c r="AA91" s="22">
        <f>AA$66*Inputs!AA35</f>
        <v>0</v>
      </c>
      <c r="AB91" s="22">
        <f>AB$66*Inputs!AB35</f>
        <v>0</v>
      </c>
      <c r="AC91" s="22">
        <f>AC$66*Inputs!AC35</f>
        <v>0</v>
      </c>
      <c r="AE91" s="27">
        <f t="shared" si="34"/>
        <v>235539</v>
      </c>
    </row>
    <row r="92" spans="2:31">
      <c r="B92" s="378"/>
      <c r="C92" t="str">
        <f t="shared" si="38"/>
        <v>Life satisfaction (future)</v>
      </c>
      <c r="D92" t="str">
        <f t="shared" si="40"/>
        <v>Scoring</v>
      </c>
      <c r="E92" s="22">
        <f>E$66*Inputs!E36</f>
        <v>4263</v>
      </c>
      <c r="F92" s="22">
        <f>F$66*Inputs!F36</f>
        <v>21987</v>
      </c>
      <c r="G92" s="22">
        <f>G$66*Inputs!G36</f>
        <v>4627</v>
      </c>
      <c r="H92" s="22">
        <f>H$66*Inputs!H36</f>
        <v>89810</v>
      </c>
      <c r="I92" s="22">
        <f>I$66*Inputs!I36</f>
        <v>1925</v>
      </c>
      <c r="J92" s="22">
        <f>J$66*Inputs!J36</f>
        <v>8792</v>
      </c>
      <c r="K92" s="22">
        <f>K$66*Inputs!K36</f>
        <v>203</v>
      </c>
      <c r="L92" s="22">
        <f>L$66*Inputs!L36</f>
        <v>1456</v>
      </c>
      <c r="M92" s="22">
        <f>M$66*Inputs!M36</f>
        <v>1204</v>
      </c>
      <c r="N92" s="22">
        <f>N$66*Inputs!N36</f>
        <v>17129</v>
      </c>
      <c r="O92" s="22">
        <f>O$66*Inputs!O36</f>
        <v>5117</v>
      </c>
      <c r="P92" s="22">
        <f>P$66*Inputs!P36</f>
        <v>42636</v>
      </c>
      <c r="Q92" s="58">
        <f>Q$66*Inputs!Q36</f>
        <v>26754</v>
      </c>
      <c r="R92" s="58">
        <f>R$66*Inputs!R36</f>
        <v>84</v>
      </c>
      <c r="S92" s="22">
        <f>S$66*Inputs!S36</f>
        <v>0</v>
      </c>
      <c r="T92" s="22">
        <f>T$66*Inputs!T36</f>
        <v>1432</v>
      </c>
      <c r="U92" s="22">
        <f>U$66*Inputs!U36</f>
        <v>3045</v>
      </c>
      <c r="V92" s="22">
        <f>V$66*Inputs!V36</f>
        <v>168</v>
      </c>
      <c r="W92" s="22">
        <f>W$66*Inputs!W36</f>
        <v>4907</v>
      </c>
      <c r="X92" s="22">
        <f>X$66*Inputs!X36</f>
        <v>0</v>
      </c>
      <c r="Y92" s="22">
        <f>Y$66*Inputs!Y36</f>
        <v>0</v>
      </c>
      <c r="Z92" s="22">
        <f>Z$66*Inputs!Z36</f>
        <v>0</v>
      </c>
      <c r="AA92" s="22">
        <f>AA$66*Inputs!AA36</f>
        <v>0</v>
      </c>
      <c r="AB92" s="22">
        <f>AB$66*Inputs!AB36</f>
        <v>0</v>
      </c>
      <c r="AC92" s="22">
        <f>AC$66*Inputs!AC36</f>
        <v>0</v>
      </c>
      <c r="AE92" s="27">
        <f t="shared" si="34"/>
        <v>235539</v>
      </c>
    </row>
    <row r="93" spans="2:31">
      <c r="B93" s="378"/>
      <c r="C93" t="str">
        <f t="shared" si="38"/>
        <v>Sense of belonging</v>
      </c>
      <c r="D93" t="str">
        <f t="shared" si="40"/>
        <v>Scoring</v>
      </c>
      <c r="E93" s="22">
        <f>E$66*Inputs!E37</f>
        <v>6090</v>
      </c>
      <c r="F93" s="22">
        <f>F$66*Inputs!F37</f>
        <v>31410</v>
      </c>
      <c r="G93" s="22">
        <f>G$66*Inputs!G37</f>
        <v>6610</v>
      </c>
      <c r="H93" s="22">
        <f>H$66*Inputs!H37</f>
        <v>128300</v>
      </c>
      <c r="I93" s="22">
        <f>I$66*Inputs!I37</f>
        <v>2750</v>
      </c>
      <c r="J93" s="22">
        <f>J$66*Inputs!J37</f>
        <v>12560</v>
      </c>
      <c r="K93" s="22">
        <f>K$66*Inputs!K37</f>
        <v>290</v>
      </c>
      <c r="L93" s="22">
        <f>L$66*Inputs!L37</f>
        <v>2080</v>
      </c>
      <c r="M93" s="22">
        <f>M$66*Inputs!M37</f>
        <v>1720</v>
      </c>
      <c r="N93" s="22">
        <f>N$66*Inputs!N37</f>
        <v>24470</v>
      </c>
      <c r="O93" s="22">
        <f>O$66*Inputs!O37</f>
        <v>7310</v>
      </c>
      <c r="P93" s="22">
        <f>P$66*Inputs!P37</f>
        <v>35530</v>
      </c>
      <c r="Q93" s="58">
        <f>Q$66*Inputs!Q37</f>
        <v>22295</v>
      </c>
      <c r="R93" s="58">
        <f>R$66*Inputs!R37</f>
        <v>70</v>
      </c>
      <c r="S93" s="22">
        <f>S$66*Inputs!S37</f>
        <v>0</v>
      </c>
      <c r="T93" s="22">
        <f>T$66*Inputs!T37</f>
        <v>1074</v>
      </c>
      <c r="U93" s="22">
        <f>U$66*Inputs!U37</f>
        <v>2436</v>
      </c>
      <c r="V93" s="22">
        <f>V$66*Inputs!V37</f>
        <v>240</v>
      </c>
      <c r="W93" s="22">
        <f>W$66*Inputs!W37</f>
        <v>7010</v>
      </c>
      <c r="X93" s="22">
        <f>X$66*Inputs!X37</f>
        <v>0</v>
      </c>
      <c r="Y93" s="22">
        <f>Y$66*Inputs!Y37</f>
        <v>0</v>
      </c>
      <c r="Z93" s="22">
        <f>Z$66*Inputs!Z37</f>
        <v>0</v>
      </c>
      <c r="AA93" s="22">
        <f>AA$66*Inputs!AA37</f>
        <v>0</v>
      </c>
      <c r="AB93" s="22">
        <f>AB$66*Inputs!AB37</f>
        <v>0</v>
      </c>
      <c r="AC93" s="22">
        <f>AC$66*Inputs!AC37</f>
        <v>0</v>
      </c>
      <c r="AE93" s="27">
        <f>SUM(E93:AC93)</f>
        <v>292245</v>
      </c>
    </row>
  </sheetData>
  <sheetProtection algorithmName="SHA-512" hashValue="TjcTfr+6nRUtDTBb6uz/H37Z7pjlpt5wtgs2dvOG7QTpktHEZEmuLQgoNZdXh0gewFaA1Ma1lnTXPvgoYHl6Cw==" saltValue="eByJrwYcwqHDpB3zoUnocw==" spinCount="100000" sheet="1" objects="1" scenarios="1"/>
  <mergeCells count="10">
    <mergeCell ref="B2:C2"/>
    <mergeCell ref="B14:B25"/>
    <mergeCell ref="B45:B56"/>
    <mergeCell ref="B68:B75"/>
    <mergeCell ref="B88:B93"/>
    <mergeCell ref="B37:B44"/>
    <mergeCell ref="B57:B62"/>
    <mergeCell ref="B6:B13"/>
    <mergeCell ref="B26:B31"/>
    <mergeCell ref="B76:B87"/>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4D631-5DB1-4F3B-951B-9A3E1C1758BD}">
  <sheetPr codeName="Sheet8"/>
  <dimension ref="A1:KZ51"/>
  <sheetViews>
    <sheetView tabSelected="1" topLeftCell="A12" zoomScale="90" zoomScaleNormal="90" workbookViewId="0">
      <pane xSplit="4" ySplit="2" topLeftCell="E14" activePane="bottomRight" state="frozen"/>
      <selection pane="bottomRight" activeCell="J34" sqref="J34"/>
      <selection pane="bottomLeft" activeCell="A14" sqref="A14"/>
      <selection pane="topRight" activeCell="E12" sqref="E12"/>
    </sheetView>
  </sheetViews>
  <sheetFormatPr defaultColWidth="9.140625" defaultRowHeight="15"/>
  <cols>
    <col min="1" max="1" width="4.140625" customWidth="1"/>
    <col min="2" max="2" width="14.5703125" customWidth="1"/>
    <col min="3" max="3" width="40.7109375" customWidth="1"/>
    <col min="4" max="4" width="13.85546875" customWidth="1"/>
    <col min="5" max="8" width="8.42578125" bestFit="1" customWidth="1"/>
    <col min="9" max="9" width="9.5703125" bestFit="1" customWidth="1"/>
    <col min="10" max="10" width="12.28515625" bestFit="1" customWidth="1"/>
    <col min="11" max="12" width="8.42578125" bestFit="1" customWidth="1"/>
    <col min="13" max="14" width="9.5703125" bestFit="1" customWidth="1"/>
    <col min="15" max="16" width="8.42578125" bestFit="1" customWidth="1"/>
    <col min="17" max="17" width="6.7109375" style="23" bestFit="1" customWidth="1"/>
    <col min="18" max="18" width="7.28515625" style="23" bestFit="1" customWidth="1"/>
    <col min="19" max="20" width="7.28515625" bestFit="1" customWidth="1"/>
    <col min="21" max="21" width="11.140625" bestFit="1" customWidth="1"/>
    <col min="22" max="23" width="9.5703125" bestFit="1" customWidth="1"/>
    <col min="24" max="24" width="3.85546875" bestFit="1" customWidth="1"/>
    <col min="25" max="25" width="8.42578125" style="23" bestFit="1" customWidth="1"/>
    <col min="26" max="26" width="7.28515625" bestFit="1" customWidth="1"/>
    <col min="27" max="30" width="8.42578125" bestFit="1" customWidth="1"/>
    <col min="31" max="31" width="9.5703125" bestFit="1" customWidth="1"/>
    <col min="32" max="32" width="12.28515625" bestFit="1" customWidth="1"/>
    <col min="33" max="34" width="8.42578125" bestFit="1" customWidth="1"/>
    <col min="35" max="37" width="9.5703125" bestFit="1" customWidth="1"/>
    <col min="38" max="38" width="8.42578125" bestFit="1" customWidth="1"/>
    <col min="39" max="40" width="7.28515625" style="23" bestFit="1" customWidth="1"/>
    <col min="41" max="41" width="9.5703125" bestFit="1" customWidth="1"/>
    <col min="42" max="42" width="7.28515625" bestFit="1" customWidth="1"/>
    <col min="43" max="43" width="11.140625" bestFit="1" customWidth="1"/>
    <col min="44" max="45" width="9.5703125" bestFit="1" customWidth="1"/>
    <col min="46" max="46" width="3.85546875" bestFit="1" customWidth="1"/>
    <col min="47" max="47" width="9.5703125" bestFit="1" customWidth="1"/>
    <col min="48" max="48" width="7.28515625" bestFit="1" customWidth="1"/>
    <col min="49" max="52" width="8.42578125" bestFit="1" customWidth="1"/>
    <col min="53" max="53" width="9.5703125" bestFit="1" customWidth="1"/>
    <col min="54" max="54" width="12.28515625" bestFit="1" customWidth="1"/>
    <col min="55" max="56" width="8.42578125" bestFit="1" customWidth="1"/>
    <col min="57" max="59" width="9.5703125" bestFit="1" customWidth="1"/>
    <col min="60" max="60" width="8.42578125" bestFit="1" customWidth="1"/>
    <col min="61" max="62" width="7.28515625" style="23" bestFit="1" customWidth="1"/>
    <col min="63" max="63" width="9.5703125" bestFit="1" customWidth="1"/>
    <col min="64" max="64" width="7.28515625" bestFit="1" customWidth="1"/>
    <col min="65" max="65" width="9.5703125" bestFit="1" customWidth="1"/>
    <col min="66" max="66" width="9.42578125" bestFit="1" customWidth="1"/>
    <col min="67" max="67" width="9.5703125" bestFit="1" customWidth="1"/>
    <col min="68" max="68" width="3.85546875" bestFit="1" customWidth="1"/>
    <col min="69" max="69" width="9.5703125" bestFit="1" customWidth="1"/>
    <col min="70" max="70" width="7.28515625" bestFit="1" customWidth="1"/>
    <col min="71" max="74" width="8.42578125" bestFit="1" customWidth="1"/>
    <col min="75" max="75" width="9.5703125" bestFit="1" customWidth="1"/>
    <col min="76" max="76" width="12.28515625" bestFit="1" customWidth="1"/>
    <col min="77" max="78" width="8.42578125" bestFit="1" customWidth="1"/>
    <col min="79" max="81" width="9.5703125" bestFit="1" customWidth="1"/>
    <col min="82" max="82" width="8.42578125" bestFit="1" customWidth="1"/>
    <col min="83" max="84" width="7.28515625" style="23" bestFit="1" customWidth="1"/>
    <col min="85" max="85" width="9.5703125" bestFit="1" customWidth="1"/>
    <col min="86" max="86" width="7.28515625" bestFit="1" customWidth="1"/>
    <col min="87" max="87" width="12.140625" bestFit="1" customWidth="1"/>
    <col min="88" max="89" width="9.5703125" bestFit="1" customWidth="1"/>
    <col min="90" max="90" width="3.85546875" bestFit="1" customWidth="1"/>
    <col min="91" max="91" width="9.5703125" bestFit="1" customWidth="1"/>
    <col min="92" max="92" width="7.28515625" bestFit="1" customWidth="1"/>
    <col min="93" max="96" width="8.42578125" bestFit="1" customWidth="1"/>
    <col min="97" max="97" width="9.5703125" bestFit="1" customWidth="1"/>
    <col min="98" max="98" width="12.28515625" bestFit="1" customWidth="1"/>
    <col min="99" max="101" width="8.42578125" bestFit="1" customWidth="1"/>
    <col min="102" max="103" width="9.5703125" bestFit="1" customWidth="1"/>
    <col min="104" max="104" width="8.42578125" bestFit="1" customWidth="1"/>
    <col min="105" max="106" width="7.28515625" style="23" bestFit="1" customWidth="1"/>
    <col min="107" max="107" width="8.42578125" bestFit="1" customWidth="1"/>
    <col min="108" max="108" width="7.28515625" bestFit="1" customWidth="1"/>
    <col min="109" max="111" width="9.5703125" bestFit="1" customWidth="1"/>
    <col min="112" max="112" width="3.85546875" bestFit="1" customWidth="1"/>
    <col min="113" max="113" width="8.42578125" bestFit="1" customWidth="1"/>
    <col min="114" max="114" width="7.28515625" bestFit="1" customWidth="1"/>
    <col min="115" max="118" width="8.42578125" bestFit="1" customWidth="1"/>
    <col min="119" max="119" width="9.5703125" bestFit="1" customWidth="1"/>
    <col min="120" max="120" width="12.28515625" bestFit="1" customWidth="1"/>
    <col min="121" max="122" width="8.42578125" bestFit="1" customWidth="1"/>
    <col min="123" max="125" width="9.5703125" bestFit="1" customWidth="1"/>
    <col min="126" max="126" width="8.42578125" bestFit="1" customWidth="1"/>
    <col min="127" max="128" width="7.28515625" style="23" bestFit="1" customWidth="1"/>
    <col min="129" max="129" width="8.42578125" bestFit="1" customWidth="1"/>
    <col min="130" max="130" width="7.28515625" bestFit="1" customWidth="1"/>
    <col min="131" max="131" width="11.140625" bestFit="1" customWidth="1"/>
    <col min="132" max="133" width="9.5703125" bestFit="1" customWidth="1"/>
    <col min="134" max="134" width="3.85546875" bestFit="1" customWidth="1"/>
    <col min="135" max="135" width="9.5703125" bestFit="1" customWidth="1"/>
    <col min="136" max="136" width="7.28515625" bestFit="1" customWidth="1"/>
    <col min="137" max="140" width="8.42578125" bestFit="1" customWidth="1"/>
    <col min="141" max="141" width="9.5703125" bestFit="1" customWidth="1"/>
    <col min="142" max="142" width="12.28515625" bestFit="1" customWidth="1"/>
    <col min="143" max="144" width="8.42578125" bestFit="1" customWidth="1"/>
    <col min="145" max="147" width="9.5703125" bestFit="1" customWidth="1"/>
    <col min="148" max="148" width="8.42578125" bestFit="1" customWidth="1"/>
    <col min="149" max="150" width="7.28515625" style="23" bestFit="1" customWidth="1"/>
    <col min="151" max="151" width="9.5703125" bestFit="1" customWidth="1"/>
    <col min="152" max="152" width="7.28515625" bestFit="1" customWidth="1"/>
    <col min="153" max="153" width="11.140625" bestFit="1" customWidth="1"/>
    <col min="154" max="155" width="9.5703125" bestFit="1" customWidth="1"/>
    <col min="156" max="156" width="3.85546875" bestFit="1" customWidth="1"/>
    <col min="157" max="157" width="9.5703125" bestFit="1" customWidth="1"/>
    <col min="158" max="158" width="7.28515625" bestFit="1" customWidth="1"/>
    <col min="159" max="162" width="8.42578125" bestFit="1" customWidth="1"/>
    <col min="163" max="163" width="9.5703125" bestFit="1" customWidth="1"/>
    <col min="164" max="164" width="12.28515625" bestFit="1" customWidth="1"/>
    <col min="165" max="166" width="8.42578125" bestFit="1" customWidth="1"/>
    <col min="167" max="169" width="9.5703125" bestFit="1" customWidth="1"/>
    <col min="170" max="170" width="8.42578125" bestFit="1" customWidth="1"/>
    <col min="171" max="171" width="6.7109375" style="23" bestFit="1" customWidth="1"/>
    <col min="172" max="172" width="7.28515625" style="23" bestFit="1" customWidth="1"/>
    <col min="173" max="173" width="9.5703125" bestFit="1" customWidth="1"/>
    <col min="174" max="174" width="7.28515625" bestFit="1" customWidth="1"/>
    <col min="175" max="175" width="11.140625" bestFit="1" customWidth="1"/>
    <col min="176" max="177" width="9.5703125" bestFit="1" customWidth="1"/>
    <col min="178" max="178" width="6.7109375" bestFit="1" customWidth="1"/>
    <col min="179" max="179" width="9.5703125" bestFit="1" customWidth="1"/>
    <col min="180" max="180" width="7.28515625" bestFit="1" customWidth="1"/>
    <col min="181" max="184" width="8.42578125" bestFit="1" customWidth="1"/>
    <col min="185" max="185" width="9.5703125" bestFit="1" customWidth="1"/>
    <col min="186" max="186" width="12.28515625" bestFit="1" customWidth="1"/>
    <col min="187" max="188" width="8.42578125" bestFit="1" customWidth="1"/>
    <col min="189" max="191" width="9.5703125" bestFit="1" customWidth="1"/>
    <col min="192" max="192" width="8.42578125" bestFit="1" customWidth="1"/>
    <col min="193" max="194" width="7.28515625" style="23" bestFit="1" customWidth="1"/>
    <col min="195" max="195" width="8.42578125" bestFit="1" customWidth="1"/>
    <col min="196" max="196" width="7.28515625" bestFit="1" customWidth="1"/>
    <col min="197" max="197" width="11.140625" bestFit="1" customWidth="1"/>
    <col min="198" max="199" width="9.5703125" bestFit="1" customWidth="1"/>
    <col min="200" max="200" width="3.85546875" bestFit="1" customWidth="1"/>
    <col min="201" max="201" width="9.5703125" bestFit="1" customWidth="1"/>
    <col min="202" max="202" width="7.28515625" bestFit="1" customWidth="1"/>
    <col min="203" max="206" width="8.42578125" bestFit="1" customWidth="1"/>
    <col min="207" max="207" width="9.5703125" bestFit="1" customWidth="1"/>
    <col min="208" max="208" width="12.28515625" bestFit="1" customWidth="1"/>
    <col min="209" max="210" width="8.42578125" bestFit="1" customWidth="1"/>
    <col min="211" max="213" width="9.5703125" bestFit="1" customWidth="1"/>
    <col min="214" max="214" width="8.42578125" bestFit="1" customWidth="1"/>
    <col min="215" max="216" width="7.28515625" style="23" bestFit="1" customWidth="1"/>
    <col min="217" max="217" width="8.42578125" bestFit="1" customWidth="1"/>
    <col min="218" max="218" width="7.28515625" bestFit="1" customWidth="1"/>
    <col min="219" max="219" width="11.140625" bestFit="1" customWidth="1"/>
    <col min="220" max="221" width="9.5703125" bestFit="1" customWidth="1"/>
    <col min="222" max="222" width="3.85546875" bestFit="1" customWidth="1"/>
    <col min="223" max="223" width="9.5703125" bestFit="1" customWidth="1"/>
    <col min="224" max="224" width="7.28515625" bestFit="1" customWidth="1"/>
    <col min="225" max="228" width="8.42578125" bestFit="1" customWidth="1"/>
    <col min="229" max="229" width="9.5703125" bestFit="1" customWidth="1"/>
    <col min="230" max="230" width="12.28515625" bestFit="1" customWidth="1"/>
    <col min="231" max="232" width="8.42578125" bestFit="1" customWidth="1"/>
    <col min="233" max="234" width="9.5703125" bestFit="1" customWidth="1"/>
    <col min="235" max="236" width="8.42578125" bestFit="1" customWidth="1"/>
    <col min="237" max="238" width="7.28515625" style="23" bestFit="1" customWidth="1"/>
    <col min="239" max="239" width="9.5703125" bestFit="1" customWidth="1"/>
    <col min="240" max="240" width="7.28515625" bestFit="1" customWidth="1"/>
    <col min="241" max="241" width="11.140625" bestFit="1" customWidth="1"/>
    <col min="242" max="243" width="9.5703125" bestFit="1" customWidth="1"/>
    <col min="244" max="244" width="3.85546875" bestFit="1" customWidth="1"/>
    <col min="245" max="245" width="8.42578125" bestFit="1" customWidth="1"/>
    <col min="246" max="246" width="7.28515625" bestFit="1" customWidth="1"/>
    <col min="247" max="250" width="8.42578125" bestFit="1" customWidth="1"/>
    <col min="251" max="251" width="9.5703125" bestFit="1" customWidth="1"/>
    <col min="252" max="252" width="12.28515625" bestFit="1" customWidth="1"/>
    <col min="253" max="254" width="8.42578125" bestFit="1" customWidth="1"/>
    <col min="255" max="257" width="9.5703125" bestFit="1" customWidth="1"/>
    <col min="258" max="258" width="8.42578125" bestFit="1" customWidth="1"/>
    <col min="259" max="260" width="7.28515625" style="23" bestFit="1" customWidth="1"/>
    <col min="261" max="261" width="8.42578125" bestFit="1" customWidth="1"/>
    <col min="262" max="262" width="7.28515625" bestFit="1" customWidth="1"/>
    <col min="263" max="263" width="11.140625" bestFit="1" customWidth="1"/>
    <col min="264" max="265" width="9.5703125" bestFit="1" customWidth="1"/>
    <col min="266" max="266" width="3.85546875" bestFit="1" customWidth="1"/>
    <col min="267" max="267" width="8.42578125" bestFit="1" customWidth="1"/>
    <col min="268" max="268" width="7.28515625" bestFit="1" customWidth="1"/>
    <col min="269" max="272" width="8.42578125" bestFit="1" customWidth="1"/>
    <col min="273" max="273" width="9.5703125" bestFit="1" customWidth="1"/>
    <col min="274" max="274" width="12.28515625" bestFit="1" customWidth="1"/>
    <col min="275" max="277" width="8.42578125" bestFit="1" customWidth="1"/>
    <col min="278" max="279" width="9.5703125" bestFit="1" customWidth="1"/>
    <col min="280" max="280" width="8.42578125" bestFit="1" customWidth="1"/>
    <col min="281" max="281" width="6.7109375" style="23" bestFit="1" customWidth="1"/>
    <col min="282" max="282" width="7.28515625" style="23" bestFit="1" customWidth="1"/>
    <col min="283" max="283" width="9.5703125" bestFit="1" customWidth="1"/>
    <col min="284" max="284" width="7.28515625" bestFit="1" customWidth="1"/>
    <col min="285" max="285" width="11.140625" bestFit="1" customWidth="1"/>
    <col min="286" max="287" width="9.5703125" bestFit="1" customWidth="1"/>
    <col min="288" max="288" width="3.85546875" bestFit="1" customWidth="1"/>
    <col min="289" max="289" width="8.42578125" bestFit="1" customWidth="1"/>
    <col min="290" max="290" width="7.28515625" bestFit="1" customWidth="1"/>
    <col min="291" max="294" width="8.42578125" bestFit="1" customWidth="1"/>
    <col min="295" max="295" width="9.5703125" bestFit="1" customWidth="1"/>
    <col min="296" max="296" width="12.28515625" bestFit="1" customWidth="1"/>
    <col min="297" max="298" width="8.42578125" bestFit="1" customWidth="1"/>
    <col min="299" max="301" width="9.5703125" bestFit="1" customWidth="1"/>
    <col min="302" max="302" width="8.42578125" bestFit="1" customWidth="1"/>
    <col min="303" max="304" width="7.28515625" style="23" bestFit="1" customWidth="1"/>
    <col min="305" max="305" width="9.5703125" bestFit="1" customWidth="1"/>
    <col min="306" max="306" width="7.28515625" bestFit="1" customWidth="1"/>
    <col min="307" max="307" width="11.140625" bestFit="1" customWidth="1"/>
    <col min="308" max="309" width="9.5703125" bestFit="1" customWidth="1"/>
    <col min="310" max="310" width="6.7109375" bestFit="1" customWidth="1"/>
    <col min="311" max="311" width="9.5703125" bestFit="1" customWidth="1"/>
    <col min="312" max="312" width="7.28515625" bestFit="1" customWidth="1"/>
  </cols>
  <sheetData>
    <row r="1" spans="1:312" s="13" customFormat="1" ht="26.25">
      <c r="A1" s="233" t="s">
        <v>139</v>
      </c>
      <c r="Q1" s="234"/>
      <c r="R1" s="234"/>
      <c r="Y1" s="234"/>
      <c r="AM1" s="234"/>
      <c r="AN1" s="234"/>
      <c r="BI1" s="234"/>
      <c r="BJ1" s="234"/>
      <c r="CE1" s="234"/>
      <c r="CF1" s="234"/>
      <c r="DA1" s="234"/>
      <c r="DB1" s="234"/>
      <c r="DW1" s="234"/>
      <c r="DX1" s="234"/>
      <c r="ES1" s="234"/>
      <c r="ET1" s="234"/>
      <c r="FO1" s="234"/>
      <c r="FP1" s="234"/>
      <c r="GK1" s="234"/>
      <c r="GL1" s="234"/>
      <c r="HG1" s="234"/>
      <c r="HH1" s="234"/>
      <c r="IC1" s="234"/>
      <c r="ID1" s="234"/>
      <c r="IY1" s="234"/>
      <c r="IZ1" s="234"/>
      <c r="JU1" s="234"/>
      <c r="JV1" s="234"/>
      <c r="KQ1" s="234"/>
      <c r="KR1" s="234"/>
    </row>
    <row r="2" spans="1:312" s="250" customFormat="1">
      <c r="A2" s="249"/>
      <c r="Q2" s="234"/>
      <c r="R2" s="234"/>
      <c r="Y2" s="234"/>
      <c r="AM2" s="234"/>
      <c r="AN2" s="234"/>
      <c r="BI2" s="234"/>
      <c r="BJ2" s="234"/>
      <c r="CE2" s="234"/>
      <c r="CF2" s="234"/>
      <c r="DA2" s="234"/>
      <c r="DB2" s="234"/>
      <c r="DW2" s="234"/>
      <c r="DX2" s="234"/>
      <c r="ES2" s="234"/>
      <c r="ET2" s="234"/>
      <c r="FO2" s="234"/>
      <c r="FP2" s="234"/>
      <c r="GK2" s="234"/>
      <c r="GL2" s="234"/>
      <c r="HG2" s="234"/>
      <c r="HH2" s="234"/>
      <c r="IC2" s="234"/>
      <c r="ID2" s="234"/>
      <c r="IY2" s="234"/>
      <c r="IZ2" s="234"/>
      <c r="JU2" s="234"/>
      <c r="JV2" s="234"/>
      <c r="KQ2" s="234"/>
      <c r="KR2" s="234"/>
    </row>
    <row r="3" spans="1:312" s="229" customFormat="1">
      <c r="A3" s="248" t="s">
        <v>17</v>
      </c>
      <c r="B3" s="340" t="s">
        <v>140</v>
      </c>
      <c r="C3" s="340"/>
      <c r="D3" s="340"/>
      <c r="E3" s="340"/>
      <c r="F3" s="340"/>
      <c r="G3" s="340"/>
      <c r="H3" s="340"/>
      <c r="I3" s="340"/>
      <c r="J3" s="340"/>
      <c r="K3" s="340"/>
      <c r="L3" s="340"/>
      <c r="M3" s="340"/>
      <c r="N3" s="340"/>
      <c r="O3" s="340"/>
      <c r="Q3" s="230"/>
      <c r="R3" s="230"/>
      <c r="Y3" s="230"/>
      <c r="AM3" s="230"/>
      <c r="AN3" s="230"/>
      <c r="BI3" s="230"/>
      <c r="BJ3" s="230"/>
      <c r="CE3" s="230"/>
      <c r="CF3" s="230"/>
      <c r="DA3" s="230"/>
      <c r="DB3" s="230"/>
      <c r="DW3" s="230"/>
      <c r="DX3" s="230"/>
      <c r="ES3" s="230"/>
      <c r="ET3" s="230"/>
      <c r="FO3" s="230"/>
      <c r="FP3" s="230"/>
      <c r="GK3" s="230"/>
      <c r="GL3" s="230"/>
      <c r="HG3" s="230"/>
      <c r="HH3" s="230"/>
      <c r="IC3" s="230"/>
      <c r="ID3" s="230"/>
      <c r="IY3" s="230"/>
      <c r="IZ3" s="230"/>
      <c r="JU3" s="230"/>
      <c r="JV3" s="230"/>
      <c r="KQ3" s="230"/>
      <c r="KR3" s="230"/>
    </row>
    <row r="4" spans="1:312" s="229" customFormat="1">
      <c r="A4" s="248" t="s">
        <v>17</v>
      </c>
      <c r="B4" s="344" t="s">
        <v>141</v>
      </c>
      <c r="C4" s="344"/>
      <c r="D4" s="344"/>
      <c r="E4" s="344"/>
      <c r="F4" s="344"/>
      <c r="G4" s="344"/>
      <c r="H4" s="344"/>
      <c r="I4" s="344"/>
      <c r="J4" s="344"/>
      <c r="K4" s="344"/>
      <c r="L4" s="344"/>
      <c r="M4" s="344"/>
      <c r="N4" s="344"/>
      <c r="O4" s="344"/>
      <c r="Q4" s="230"/>
      <c r="R4" s="230"/>
      <c r="Y4" s="230"/>
      <c r="AM4" s="230"/>
      <c r="AN4" s="230"/>
      <c r="BI4" s="230"/>
      <c r="BJ4" s="230"/>
      <c r="CE4" s="230"/>
      <c r="CF4" s="230"/>
      <c r="DA4" s="230"/>
      <c r="DB4" s="230"/>
      <c r="DW4" s="230"/>
      <c r="DX4" s="230"/>
      <c r="ES4" s="230"/>
      <c r="ET4" s="230"/>
      <c r="FO4" s="230"/>
      <c r="FP4" s="230"/>
      <c r="GK4" s="230"/>
      <c r="GL4" s="230"/>
      <c r="HG4" s="230"/>
      <c r="HH4" s="230"/>
      <c r="IC4" s="230"/>
      <c r="ID4" s="230"/>
      <c r="IY4" s="230"/>
      <c r="IZ4" s="230"/>
      <c r="JU4" s="230"/>
      <c r="JV4" s="230"/>
      <c r="KQ4" s="230"/>
      <c r="KR4" s="230"/>
    </row>
    <row r="5" spans="1:312" s="229" customFormat="1" ht="46.5" customHeight="1">
      <c r="A5" s="248" t="s">
        <v>17</v>
      </c>
      <c r="B5" s="339" t="s">
        <v>142</v>
      </c>
      <c r="C5" s="339"/>
      <c r="D5" s="339"/>
      <c r="E5" s="339"/>
      <c r="F5" s="339"/>
      <c r="G5" s="339"/>
      <c r="H5" s="339"/>
      <c r="I5" s="339"/>
      <c r="J5" s="339"/>
      <c r="K5" s="339"/>
      <c r="L5" s="339"/>
      <c r="M5" s="339"/>
      <c r="N5" s="339"/>
      <c r="O5" s="339"/>
      <c r="Q5" s="230"/>
      <c r="R5" s="230"/>
      <c r="Y5" s="230"/>
      <c r="AM5" s="230"/>
      <c r="AN5" s="230"/>
      <c r="BI5" s="230"/>
      <c r="BJ5" s="230"/>
      <c r="CE5" s="230"/>
      <c r="CF5" s="230"/>
      <c r="DA5" s="230"/>
      <c r="DB5" s="230"/>
      <c r="DW5" s="230"/>
      <c r="DX5" s="230"/>
      <c r="ES5" s="230"/>
      <c r="ET5" s="230"/>
      <c r="FO5" s="230"/>
      <c r="FP5" s="230"/>
      <c r="GK5" s="230"/>
      <c r="GL5" s="230"/>
      <c r="HG5" s="230"/>
      <c r="HH5" s="230"/>
      <c r="IC5" s="230"/>
      <c r="ID5" s="230"/>
      <c r="IY5" s="230"/>
      <c r="IZ5" s="230"/>
      <c r="JU5" s="230"/>
      <c r="JV5" s="230"/>
      <c r="KQ5" s="230"/>
      <c r="KR5" s="230"/>
    </row>
    <row r="6" spans="1:312" s="229" customFormat="1" ht="47.25" customHeight="1">
      <c r="A6" s="248" t="s">
        <v>17</v>
      </c>
      <c r="B6" s="339" t="s">
        <v>143</v>
      </c>
      <c r="C6" s="339"/>
      <c r="D6" s="339"/>
      <c r="E6" s="339"/>
      <c r="F6" s="339"/>
      <c r="G6" s="339"/>
      <c r="H6" s="339"/>
      <c r="I6" s="339"/>
      <c r="J6" s="339"/>
      <c r="K6" s="339"/>
      <c r="L6" s="339"/>
      <c r="M6" s="339"/>
      <c r="N6" s="339"/>
      <c r="O6" s="339"/>
      <c r="Q6" s="230"/>
      <c r="R6" s="230"/>
      <c r="Y6" s="230"/>
      <c r="AM6" s="230"/>
      <c r="AN6" s="230"/>
      <c r="BI6" s="230"/>
      <c r="BJ6" s="230"/>
      <c r="CE6" s="230"/>
      <c r="CF6" s="230"/>
      <c r="DA6" s="230"/>
      <c r="DB6" s="230"/>
      <c r="DW6" s="230"/>
      <c r="DX6" s="230"/>
      <c r="ES6" s="230"/>
      <c r="ET6" s="230"/>
      <c r="FO6" s="230"/>
      <c r="FP6" s="230"/>
      <c r="GK6" s="230"/>
      <c r="GL6" s="230"/>
      <c r="HG6" s="230"/>
      <c r="HH6" s="230"/>
      <c r="IC6" s="230"/>
      <c r="ID6" s="230"/>
      <c r="IY6" s="230"/>
      <c r="IZ6" s="230"/>
      <c r="JU6" s="230"/>
      <c r="JV6" s="230"/>
      <c r="KQ6" s="230"/>
      <c r="KR6" s="230"/>
    </row>
    <row r="7" spans="1:312" s="229" customFormat="1" ht="30.75" customHeight="1">
      <c r="A7" s="248" t="s">
        <v>17</v>
      </c>
      <c r="B7" s="339" t="s">
        <v>144</v>
      </c>
      <c r="C7" s="339"/>
      <c r="D7" s="339"/>
      <c r="E7" s="339"/>
      <c r="F7" s="339"/>
      <c r="G7" s="339"/>
      <c r="H7" s="339"/>
      <c r="I7" s="339"/>
      <c r="J7" s="339"/>
      <c r="K7" s="339"/>
      <c r="L7" s="339"/>
      <c r="M7" s="339"/>
      <c r="N7" s="339"/>
      <c r="O7" s="339"/>
      <c r="Q7" s="230"/>
      <c r="R7" s="230"/>
      <c r="Y7" s="230"/>
      <c r="AM7" s="230"/>
      <c r="AN7" s="230"/>
      <c r="BI7" s="230"/>
      <c r="BJ7" s="230"/>
      <c r="CE7" s="230"/>
      <c r="CF7" s="230"/>
      <c r="DA7" s="230"/>
      <c r="DB7" s="230"/>
      <c r="DW7" s="230"/>
      <c r="DX7" s="230"/>
      <c r="ES7" s="230"/>
      <c r="ET7" s="230"/>
      <c r="FO7" s="230"/>
      <c r="FP7" s="230"/>
      <c r="GK7" s="230"/>
      <c r="GL7" s="230"/>
      <c r="HG7" s="230"/>
      <c r="HH7" s="230"/>
      <c r="IC7" s="230"/>
      <c r="ID7" s="230"/>
      <c r="IY7" s="230"/>
      <c r="IZ7" s="230"/>
      <c r="JU7" s="230"/>
      <c r="JV7" s="230"/>
      <c r="KQ7" s="230"/>
      <c r="KR7" s="230"/>
    </row>
    <row r="8" spans="1:312" s="229" customFormat="1" ht="15" customHeight="1">
      <c r="A8" s="248" t="s">
        <v>17</v>
      </c>
      <c r="B8" s="339" t="s">
        <v>145</v>
      </c>
      <c r="C8" s="339"/>
      <c r="D8" s="339"/>
      <c r="E8" s="339"/>
      <c r="F8" s="339"/>
      <c r="G8" s="339"/>
      <c r="H8" s="339"/>
      <c r="I8" s="339"/>
      <c r="J8" s="339"/>
      <c r="K8" s="339"/>
      <c r="L8" s="339"/>
      <c r="M8" s="339"/>
      <c r="N8" s="339"/>
      <c r="Q8" s="230"/>
      <c r="R8" s="230"/>
      <c r="Y8" s="230"/>
      <c r="AM8" s="230"/>
      <c r="AN8" s="230"/>
      <c r="BI8" s="230"/>
      <c r="BJ8" s="230"/>
      <c r="CE8" s="230"/>
      <c r="CF8" s="230"/>
      <c r="DA8" s="230"/>
      <c r="DB8" s="230"/>
      <c r="DW8" s="230"/>
      <c r="DX8" s="230"/>
      <c r="ES8" s="230"/>
      <c r="ET8" s="230"/>
      <c r="FO8" s="230"/>
      <c r="FP8" s="230"/>
      <c r="GK8" s="230"/>
      <c r="GL8" s="230"/>
      <c r="HG8" s="230"/>
      <c r="HH8" s="230"/>
      <c r="IC8" s="230"/>
      <c r="ID8" s="230"/>
      <c r="IY8" s="230"/>
      <c r="IZ8" s="230"/>
      <c r="JU8" s="230"/>
      <c r="JV8" s="230"/>
      <c r="KQ8" s="230"/>
      <c r="KR8" s="230"/>
    </row>
    <row r="9" spans="1:312" s="229" customFormat="1">
      <c r="A9" s="248" t="s">
        <v>17</v>
      </c>
      <c r="B9" s="340" t="s">
        <v>146</v>
      </c>
      <c r="C9" s="340"/>
      <c r="D9" s="340"/>
      <c r="E9" s="340"/>
      <c r="F9" s="340"/>
      <c r="G9" s="340"/>
      <c r="H9" s="340"/>
      <c r="I9" s="340"/>
      <c r="J9" s="340"/>
      <c r="K9" s="340"/>
      <c r="L9" s="340"/>
      <c r="M9" s="340"/>
      <c r="N9" s="340"/>
      <c r="Q9" s="230"/>
      <c r="R9" s="230"/>
      <c r="Y9" s="230"/>
      <c r="AM9" s="230"/>
      <c r="AN9" s="230"/>
      <c r="BI9" s="230"/>
      <c r="BJ9" s="230"/>
      <c r="CE9" s="230"/>
      <c r="CF9" s="230"/>
      <c r="DA9" s="230"/>
      <c r="DB9" s="230"/>
      <c r="DW9" s="230"/>
      <c r="DX9" s="230"/>
      <c r="ES9" s="230"/>
      <c r="ET9" s="230"/>
      <c r="FO9" s="230"/>
      <c r="FP9" s="230"/>
      <c r="GK9" s="230"/>
      <c r="GL9" s="230"/>
      <c r="HG9" s="230"/>
      <c r="HH9" s="230"/>
      <c r="IC9" s="230"/>
      <c r="ID9" s="230"/>
      <c r="IY9" s="230"/>
      <c r="IZ9" s="230"/>
      <c r="JU9" s="230"/>
      <c r="JV9" s="230"/>
      <c r="KQ9" s="230"/>
      <c r="KR9" s="230"/>
    </row>
    <row r="10" spans="1:312" s="229" customFormat="1">
      <c r="Q10" s="230"/>
      <c r="R10" s="230"/>
      <c r="Y10" s="230"/>
      <c r="AM10" s="230"/>
      <c r="AN10" s="230"/>
      <c r="BI10" s="230"/>
      <c r="BJ10" s="230"/>
      <c r="CE10" s="230"/>
      <c r="CF10" s="230"/>
      <c r="DA10" s="230"/>
      <c r="DB10" s="230"/>
      <c r="DW10" s="230"/>
      <c r="DX10" s="230"/>
      <c r="ES10" s="230"/>
      <c r="ET10" s="230"/>
      <c r="FO10" s="230"/>
      <c r="FP10" s="230"/>
      <c r="GK10" s="230"/>
      <c r="GL10" s="230"/>
      <c r="HG10" s="230"/>
      <c r="HH10" s="230"/>
      <c r="IC10" s="230"/>
      <c r="ID10" s="230"/>
      <c r="IY10" s="230"/>
      <c r="IZ10" s="230"/>
      <c r="JU10" s="230"/>
      <c r="JV10" s="230"/>
      <c r="KQ10" s="230"/>
      <c r="KR10" s="230"/>
    </row>
    <row r="11" spans="1:312" hidden="1">
      <c r="E11" s="17">
        <v>1</v>
      </c>
      <c r="F11" s="17">
        <v>2</v>
      </c>
      <c r="G11" s="17">
        <v>3</v>
      </c>
      <c r="H11" s="17">
        <v>4</v>
      </c>
      <c r="I11" s="17">
        <v>5</v>
      </c>
      <c r="J11" s="17">
        <v>6</v>
      </c>
      <c r="K11" s="17">
        <v>7</v>
      </c>
      <c r="L11" s="17">
        <v>8</v>
      </c>
      <c r="M11" s="17">
        <v>9</v>
      </c>
      <c r="N11" s="17">
        <v>10</v>
      </c>
      <c r="O11" s="17">
        <v>11</v>
      </c>
      <c r="P11" s="17">
        <v>12</v>
      </c>
      <c r="Q11" s="139">
        <v>13</v>
      </c>
      <c r="R11" s="139">
        <v>14</v>
      </c>
      <c r="S11" s="17">
        <v>15</v>
      </c>
      <c r="T11" s="17">
        <v>16</v>
      </c>
      <c r="U11" s="17">
        <v>17</v>
      </c>
      <c r="V11" s="17">
        <v>18</v>
      </c>
      <c r="W11" s="17">
        <v>19</v>
      </c>
      <c r="X11" s="17">
        <v>20</v>
      </c>
      <c r="Y11" s="139">
        <v>21</v>
      </c>
      <c r="Z11" s="17">
        <v>22</v>
      </c>
      <c r="AA11" s="17">
        <f t="shared" ref="AA11:CL11" si="0">E11</f>
        <v>1</v>
      </c>
      <c r="AB11" s="17">
        <f t="shared" si="0"/>
        <v>2</v>
      </c>
      <c r="AC11" s="17">
        <f t="shared" si="0"/>
        <v>3</v>
      </c>
      <c r="AD11" s="17">
        <f t="shared" si="0"/>
        <v>4</v>
      </c>
      <c r="AE11" s="17">
        <f t="shared" si="0"/>
        <v>5</v>
      </c>
      <c r="AF11" s="17">
        <f t="shared" si="0"/>
        <v>6</v>
      </c>
      <c r="AG11" s="17">
        <f t="shared" si="0"/>
        <v>7</v>
      </c>
      <c r="AH11" s="17">
        <f t="shared" si="0"/>
        <v>8</v>
      </c>
      <c r="AI11" s="17">
        <f t="shared" si="0"/>
        <v>9</v>
      </c>
      <c r="AJ11" s="17">
        <f t="shared" si="0"/>
        <v>10</v>
      </c>
      <c r="AK11" s="17">
        <f t="shared" si="0"/>
        <v>11</v>
      </c>
      <c r="AL11" s="17">
        <f t="shared" si="0"/>
        <v>12</v>
      </c>
      <c r="AM11" s="139">
        <f t="shared" si="0"/>
        <v>13</v>
      </c>
      <c r="AN11" s="139">
        <f t="shared" si="0"/>
        <v>14</v>
      </c>
      <c r="AO11" s="17">
        <f t="shared" si="0"/>
        <v>15</v>
      </c>
      <c r="AP11" s="17">
        <f t="shared" si="0"/>
        <v>16</v>
      </c>
      <c r="AQ11" s="17">
        <f t="shared" si="0"/>
        <v>17</v>
      </c>
      <c r="AR11" s="17">
        <f t="shared" si="0"/>
        <v>18</v>
      </c>
      <c r="AS11" s="17">
        <f t="shared" si="0"/>
        <v>19</v>
      </c>
      <c r="AT11" s="17">
        <f t="shared" si="0"/>
        <v>20</v>
      </c>
      <c r="AU11" s="17">
        <f t="shared" si="0"/>
        <v>21</v>
      </c>
      <c r="AV11" s="17">
        <f t="shared" si="0"/>
        <v>22</v>
      </c>
      <c r="AW11" s="17">
        <f t="shared" si="0"/>
        <v>1</v>
      </c>
      <c r="AX11" s="17">
        <f t="shared" si="0"/>
        <v>2</v>
      </c>
      <c r="AY11" s="17">
        <f t="shared" si="0"/>
        <v>3</v>
      </c>
      <c r="AZ11" s="17">
        <f t="shared" si="0"/>
        <v>4</v>
      </c>
      <c r="BA11" s="17">
        <f t="shared" si="0"/>
        <v>5</v>
      </c>
      <c r="BB11" s="17">
        <f t="shared" si="0"/>
        <v>6</v>
      </c>
      <c r="BC11" s="17">
        <f t="shared" si="0"/>
        <v>7</v>
      </c>
      <c r="BD11" s="17">
        <f t="shared" si="0"/>
        <v>8</v>
      </c>
      <c r="BE11" s="17">
        <f t="shared" si="0"/>
        <v>9</v>
      </c>
      <c r="BF11" s="17">
        <f t="shared" si="0"/>
        <v>10</v>
      </c>
      <c r="BG11" s="17">
        <f t="shared" si="0"/>
        <v>11</v>
      </c>
      <c r="BH11" s="17">
        <f t="shared" si="0"/>
        <v>12</v>
      </c>
      <c r="BI11" s="139">
        <f t="shared" si="0"/>
        <v>13</v>
      </c>
      <c r="BJ11" s="139">
        <f t="shared" si="0"/>
        <v>14</v>
      </c>
      <c r="BK11" s="17">
        <f t="shared" si="0"/>
        <v>15</v>
      </c>
      <c r="BL11" s="17">
        <f t="shared" si="0"/>
        <v>16</v>
      </c>
      <c r="BM11" s="17">
        <f t="shared" si="0"/>
        <v>17</v>
      </c>
      <c r="BN11" s="17">
        <f t="shared" si="0"/>
        <v>18</v>
      </c>
      <c r="BO11" s="17">
        <f t="shared" si="0"/>
        <v>19</v>
      </c>
      <c r="BP11" s="17">
        <f t="shared" si="0"/>
        <v>20</v>
      </c>
      <c r="BQ11" s="17">
        <f t="shared" si="0"/>
        <v>21</v>
      </c>
      <c r="BR11" s="17">
        <f t="shared" si="0"/>
        <v>22</v>
      </c>
      <c r="BS11" s="17">
        <f t="shared" si="0"/>
        <v>1</v>
      </c>
      <c r="BT11" s="17">
        <f t="shared" si="0"/>
        <v>2</v>
      </c>
      <c r="BU11" s="17">
        <f t="shared" si="0"/>
        <v>3</v>
      </c>
      <c r="BV11" s="17">
        <f t="shared" si="0"/>
        <v>4</v>
      </c>
      <c r="BW11" s="17">
        <f t="shared" si="0"/>
        <v>5</v>
      </c>
      <c r="BX11" s="17">
        <f t="shared" si="0"/>
        <v>6</v>
      </c>
      <c r="BY11" s="17">
        <f t="shared" si="0"/>
        <v>7</v>
      </c>
      <c r="BZ11" s="17">
        <f t="shared" si="0"/>
        <v>8</v>
      </c>
      <c r="CA11" s="17">
        <f t="shared" si="0"/>
        <v>9</v>
      </c>
      <c r="CB11" s="17">
        <f t="shared" si="0"/>
        <v>10</v>
      </c>
      <c r="CC11" s="17">
        <f t="shared" si="0"/>
        <v>11</v>
      </c>
      <c r="CD11" s="17">
        <f t="shared" si="0"/>
        <v>12</v>
      </c>
      <c r="CE11" s="139">
        <f t="shared" si="0"/>
        <v>13</v>
      </c>
      <c r="CF11" s="139">
        <f t="shared" si="0"/>
        <v>14</v>
      </c>
      <c r="CG11" s="17">
        <f t="shared" si="0"/>
        <v>15</v>
      </c>
      <c r="CH11" s="17">
        <f t="shared" si="0"/>
        <v>16</v>
      </c>
      <c r="CI11" s="17">
        <f t="shared" si="0"/>
        <v>17</v>
      </c>
      <c r="CJ11" s="17">
        <f t="shared" si="0"/>
        <v>18</v>
      </c>
      <c r="CK11" s="17">
        <f t="shared" si="0"/>
        <v>19</v>
      </c>
      <c r="CL11" s="17">
        <f t="shared" si="0"/>
        <v>20</v>
      </c>
      <c r="CM11" s="17">
        <f t="shared" ref="CM11:EX11" si="1">BQ11</f>
        <v>21</v>
      </c>
      <c r="CN11" s="17">
        <f t="shared" si="1"/>
        <v>22</v>
      </c>
      <c r="CO11" s="17">
        <f t="shared" si="1"/>
        <v>1</v>
      </c>
      <c r="CP11" s="17">
        <f t="shared" si="1"/>
        <v>2</v>
      </c>
      <c r="CQ11" s="17">
        <f t="shared" si="1"/>
        <v>3</v>
      </c>
      <c r="CR11" s="17">
        <f t="shared" si="1"/>
        <v>4</v>
      </c>
      <c r="CS11" s="17">
        <f t="shared" si="1"/>
        <v>5</v>
      </c>
      <c r="CT11" s="17">
        <f t="shared" si="1"/>
        <v>6</v>
      </c>
      <c r="CU11" s="17">
        <f t="shared" si="1"/>
        <v>7</v>
      </c>
      <c r="CV11" s="17">
        <f t="shared" si="1"/>
        <v>8</v>
      </c>
      <c r="CW11" s="17">
        <f t="shared" si="1"/>
        <v>9</v>
      </c>
      <c r="CX11" s="17">
        <f t="shared" si="1"/>
        <v>10</v>
      </c>
      <c r="CY11" s="17">
        <f t="shared" si="1"/>
        <v>11</v>
      </c>
      <c r="CZ11" s="17">
        <f t="shared" si="1"/>
        <v>12</v>
      </c>
      <c r="DA11" s="139">
        <f t="shared" si="1"/>
        <v>13</v>
      </c>
      <c r="DB11" s="139">
        <f t="shared" si="1"/>
        <v>14</v>
      </c>
      <c r="DC11" s="17">
        <f t="shared" si="1"/>
        <v>15</v>
      </c>
      <c r="DD11" s="17">
        <f t="shared" si="1"/>
        <v>16</v>
      </c>
      <c r="DE11" s="17">
        <f t="shared" si="1"/>
        <v>17</v>
      </c>
      <c r="DF11" s="17">
        <f t="shared" si="1"/>
        <v>18</v>
      </c>
      <c r="DG11" s="17">
        <f t="shared" si="1"/>
        <v>19</v>
      </c>
      <c r="DH11" s="17">
        <f t="shared" si="1"/>
        <v>20</v>
      </c>
      <c r="DI11" s="17">
        <f t="shared" si="1"/>
        <v>21</v>
      </c>
      <c r="DJ11" s="17">
        <f t="shared" si="1"/>
        <v>22</v>
      </c>
      <c r="DK11" s="17">
        <f t="shared" si="1"/>
        <v>1</v>
      </c>
      <c r="DL11" s="17">
        <f t="shared" si="1"/>
        <v>2</v>
      </c>
      <c r="DM11" s="17">
        <f t="shared" si="1"/>
        <v>3</v>
      </c>
      <c r="DN11" s="17">
        <f t="shared" si="1"/>
        <v>4</v>
      </c>
      <c r="DO11" s="17">
        <f t="shared" si="1"/>
        <v>5</v>
      </c>
      <c r="DP11" s="17">
        <f t="shared" si="1"/>
        <v>6</v>
      </c>
      <c r="DQ11" s="17">
        <f t="shared" si="1"/>
        <v>7</v>
      </c>
      <c r="DR11" s="17">
        <f t="shared" si="1"/>
        <v>8</v>
      </c>
      <c r="DS11" s="17">
        <f t="shared" si="1"/>
        <v>9</v>
      </c>
      <c r="DT11" s="17">
        <f t="shared" si="1"/>
        <v>10</v>
      </c>
      <c r="DU11" s="17">
        <f t="shared" si="1"/>
        <v>11</v>
      </c>
      <c r="DV11" s="17">
        <f t="shared" si="1"/>
        <v>12</v>
      </c>
      <c r="DW11" s="139">
        <f t="shared" si="1"/>
        <v>13</v>
      </c>
      <c r="DX11" s="139">
        <f t="shared" si="1"/>
        <v>14</v>
      </c>
      <c r="DY11" s="17">
        <f t="shared" si="1"/>
        <v>15</v>
      </c>
      <c r="DZ11" s="17">
        <f t="shared" si="1"/>
        <v>16</v>
      </c>
      <c r="EA11" s="17">
        <f t="shared" si="1"/>
        <v>17</v>
      </c>
      <c r="EB11" s="17">
        <f t="shared" si="1"/>
        <v>18</v>
      </c>
      <c r="EC11" s="17">
        <f t="shared" si="1"/>
        <v>19</v>
      </c>
      <c r="ED11" s="17">
        <f t="shared" si="1"/>
        <v>20</v>
      </c>
      <c r="EE11" s="17">
        <f t="shared" si="1"/>
        <v>21</v>
      </c>
      <c r="EF11" s="17">
        <f t="shared" si="1"/>
        <v>22</v>
      </c>
      <c r="EG11" s="17">
        <f t="shared" si="1"/>
        <v>1</v>
      </c>
      <c r="EH11" s="17">
        <f t="shared" si="1"/>
        <v>2</v>
      </c>
      <c r="EI11" s="17">
        <f t="shared" si="1"/>
        <v>3</v>
      </c>
      <c r="EJ11" s="17">
        <f t="shared" si="1"/>
        <v>4</v>
      </c>
      <c r="EK11" s="17">
        <f t="shared" si="1"/>
        <v>5</v>
      </c>
      <c r="EL11" s="17">
        <f t="shared" si="1"/>
        <v>6</v>
      </c>
      <c r="EM11" s="17">
        <f t="shared" si="1"/>
        <v>7</v>
      </c>
      <c r="EN11" s="17">
        <f t="shared" si="1"/>
        <v>8</v>
      </c>
      <c r="EO11" s="17">
        <f t="shared" si="1"/>
        <v>9</v>
      </c>
      <c r="EP11" s="17">
        <f t="shared" si="1"/>
        <v>10</v>
      </c>
      <c r="EQ11" s="17">
        <f t="shared" si="1"/>
        <v>11</v>
      </c>
      <c r="ER11" s="17">
        <f t="shared" si="1"/>
        <v>12</v>
      </c>
      <c r="ES11" s="139">
        <f t="shared" si="1"/>
        <v>13</v>
      </c>
      <c r="ET11" s="139">
        <f t="shared" si="1"/>
        <v>14</v>
      </c>
      <c r="EU11" s="17">
        <f t="shared" si="1"/>
        <v>15</v>
      </c>
      <c r="EV11" s="17">
        <f t="shared" si="1"/>
        <v>16</v>
      </c>
      <c r="EW11" s="17">
        <f t="shared" si="1"/>
        <v>17</v>
      </c>
      <c r="EX11" s="17">
        <f t="shared" si="1"/>
        <v>18</v>
      </c>
      <c r="EY11" s="17">
        <f t="shared" ref="EY11:HJ11" si="2">EC11</f>
        <v>19</v>
      </c>
      <c r="EZ11" s="17">
        <f t="shared" si="2"/>
        <v>20</v>
      </c>
      <c r="FA11" s="17">
        <f t="shared" si="2"/>
        <v>21</v>
      </c>
      <c r="FB11" s="17">
        <f t="shared" si="2"/>
        <v>22</v>
      </c>
      <c r="FC11" s="17">
        <f t="shared" si="2"/>
        <v>1</v>
      </c>
      <c r="FD11" s="17">
        <f t="shared" si="2"/>
        <v>2</v>
      </c>
      <c r="FE11" s="17">
        <f t="shared" si="2"/>
        <v>3</v>
      </c>
      <c r="FF11" s="17">
        <f t="shared" si="2"/>
        <v>4</v>
      </c>
      <c r="FG11" s="17">
        <f t="shared" si="2"/>
        <v>5</v>
      </c>
      <c r="FH11" s="17">
        <f t="shared" si="2"/>
        <v>6</v>
      </c>
      <c r="FI11" s="17">
        <f t="shared" si="2"/>
        <v>7</v>
      </c>
      <c r="FJ11" s="17">
        <f t="shared" si="2"/>
        <v>8</v>
      </c>
      <c r="FK11" s="17">
        <f t="shared" si="2"/>
        <v>9</v>
      </c>
      <c r="FL11" s="17">
        <f t="shared" si="2"/>
        <v>10</v>
      </c>
      <c r="FM11" s="17">
        <f t="shared" si="2"/>
        <v>11</v>
      </c>
      <c r="FN11" s="17">
        <f t="shared" si="2"/>
        <v>12</v>
      </c>
      <c r="FO11" s="139">
        <f t="shared" si="2"/>
        <v>13</v>
      </c>
      <c r="FP11" s="139">
        <f t="shared" si="2"/>
        <v>14</v>
      </c>
      <c r="FQ11" s="17">
        <f t="shared" si="2"/>
        <v>15</v>
      </c>
      <c r="FR11" s="17">
        <f t="shared" si="2"/>
        <v>16</v>
      </c>
      <c r="FS11" s="17">
        <f t="shared" si="2"/>
        <v>17</v>
      </c>
      <c r="FT11" s="17">
        <f t="shared" si="2"/>
        <v>18</v>
      </c>
      <c r="FU11" s="17">
        <f t="shared" si="2"/>
        <v>19</v>
      </c>
      <c r="FV11" s="17">
        <f t="shared" si="2"/>
        <v>20</v>
      </c>
      <c r="FW11" s="17">
        <f t="shared" si="2"/>
        <v>21</v>
      </c>
      <c r="FX11" s="17">
        <f t="shared" si="2"/>
        <v>22</v>
      </c>
      <c r="FY11" s="17">
        <f t="shared" si="2"/>
        <v>1</v>
      </c>
      <c r="FZ11" s="17">
        <f t="shared" si="2"/>
        <v>2</v>
      </c>
      <c r="GA11" s="17">
        <f t="shared" si="2"/>
        <v>3</v>
      </c>
      <c r="GB11" s="17">
        <f t="shared" si="2"/>
        <v>4</v>
      </c>
      <c r="GC11" s="17">
        <f t="shared" si="2"/>
        <v>5</v>
      </c>
      <c r="GD11" s="17">
        <f t="shared" si="2"/>
        <v>6</v>
      </c>
      <c r="GE11" s="17">
        <f t="shared" si="2"/>
        <v>7</v>
      </c>
      <c r="GF11" s="17">
        <f t="shared" si="2"/>
        <v>8</v>
      </c>
      <c r="GG11" s="17">
        <f t="shared" si="2"/>
        <v>9</v>
      </c>
      <c r="GH11" s="17">
        <f t="shared" si="2"/>
        <v>10</v>
      </c>
      <c r="GI11" s="17">
        <f t="shared" si="2"/>
        <v>11</v>
      </c>
      <c r="GJ11" s="17">
        <f t="shared" si="2"/>
        <v>12</v>
      </c>
      <c r="GK11" s="139">
        <f t="shared" si="2"/>
        <v>13</v>
      </c>
      <c r="GL11" s="139">
        <f t="shared" si="2"/>
        <v>14</v>
      </c>
      <c r="GM11" s="17">
        <f t="shared" si="2"/>
        <v>15</v>
      </c>
      <c r="GN11" s="17">
        <f t="shared" si="2"/>
        <v>16</v>
      </c>
      <c r="GO11" s="17">
        <f t="shared" si="2"/>
        <v>17</v>
      </c>
      <c r="GP11" s="17">
        <f t="shared" si="2"/>
        <v>18</v>
      </c>
      <c r="GQ11" s="17">
        <f t="shared" si="2"/>
        <v>19</v>
      </c>
      <c r="GR11" s="17">
        <f t="shared" si="2"/>
        <v>20</v>
      </c>
      <c r="GS11" s="17">
        <f t="shared" si="2"/>
        <v>21</v>
      </c>
      <c r="GT11" s="17">
        <f t="shared" si="2"/>
        <v>22</v>
      </c>
      <c r="GU11" s="17">
        <f t="shared" si="2"/>
        <v>1</v>
      </c>
      <c r="GV11" s="17">
        <f t="shared" si="2"/>
        <v>2</v>
      </c>
      <c r="GW11" s="17">
        <f t="shared" si="2"/>
        <v>3</v>
      </c>
      <c r="GX11" s="17">
        <f t="shared" si="2"/>
        <v>4</v>
      </c>
      <c r="GY11" s="17">
        <f t="shared" si="2"/>
        <v>5</v>
      </c>
      <c r="GZ11" s="17">
        <f t="shared" si="2"/>
        <v>6</v>
      </c>
      <c r="HA11" s="17">
        <f t="shared" si="2"/>
        <v>7</v>
      </c>
      <c r="HB11" s="17">
        <f t="shared" si="2"/>
        <v>8</v>
      </c>
      <c r="HC11" s="17">
        <f t="shared" si="2"/>
        <v>9</v>
      </c>
      <c r="HD11" s="17">
        <f t="shared" si="2"/>
        <v>10</v>
      </c>
      <c r="HE11" s="17">
        <f t="shared" si="2"/>
        <v>11</v>
      </c>
      <c r="HF11" s="17">
        <f t="shared" si="2"/>
        <v>12</v>
      </c>
      <c r="HG11" s="139">
        <f t="shared" si="2"/>
        <v>13</v>
      </c>
      <c r="HH11" s="139">
        <f t="shared" si="2"/>
        <v>14</v>
      </c>
      <c r="HI11" s="17">
        <f t="shared" si="2"/>
        <v>15</v>
      </c>
      <c r="HJ11" s="17">
        <f t="shared" si="2"/>
        <v>16</v>
      </c>
      <c r="HK11" s="17">
        <f t="shared" ref="HK11:JV11" si="3">GO11</f>
        <v>17</v>
      </c>
      <c r="HL11" s="17">
        <f t="shared" si="3"/>
        <v>18</v>
      </c>
      <c r="HM11" s="17">
        <f t="shared" si="3"/>
        <v>19</v>
      </c>
      <c r="HN11" s="17">
        <f t="shared" si="3"/>
        <v>20</v>
      </c>
      <c r="HO11" s="17">
        <f t="shared" si="3"/>
        <v>21</v>
      </c>
      <c r="HP11" s="17">
        <f t="shared" si="3"/>
        <v>22</v>
      </c>
      <c r="HQ11" s="17">
        <f t="shared" si="3"/>
        <v>1</v>
      </c>
      <c r="HR11" s="17">
        <f t="shared" si="3"/>
        <v>2</v>
      </c>
      <c r="HS11" s="17">
        <f t="shared" si="3"/>
        <v>3</v>
      </c>
      <c r="HT11" s="17">
        <f t="shared" si="3"/>
        <v>4</v>
      </c>
      <c r="HU11" s="17">
        <f t="shared" si="3"/>
        <v>5</v>
      </c>
      <c r="HV11" s="17">
        <f t="shared" si="3"/>
        <v>6</v>
      </c>
      <c r="HW11" s="17">
        <f t="shared" si="3"/>
        <v>7</v>
      </c>
      <c r="HX11" s="17">
        <f t="shared" si="3"/>
        <v>8</v>
      </c>
      <c r="HY11" s="17">
        <f t="shared" si="3"/>
        <v>9</v>
      </c>
      <c r="HZ11" s="17">
        <f t="shared" si="3"/>
        <v>10</v>
      </c>
      <c r="IA11" s="17">
        <f t="shared" si="3"/>
        <v>11</v>
      </c>
      <c r="IB11" s="17">
        <f t="shared" si="3"/>
        <v>12</v>
      </c>
      <c r="IC11" s="139">
        <f t="shared" si="3"/>
        <v>13</v>
      </c>
      <c r="ID11" s="139">
        <f t="shared" si="3"/>
        <v>14</v>
      </c>
      <c r="IE11" s="17">
        <f t="shared" si="3"/>
        <v>15</v>
      </c>
      <c r="IF11" s="17">
        <f t="shared" si="3"/>
        <v>16</v>
      </c>
      <c r="IG11" s="17">
        <f t="shared" si="3"/>
        <v>17</v>
      </c>
      <c r="IH11" s="17">
        <f t="shared" si="3"/>
        <v>18</v>
      </c>
      <c r="II11" s="17">
        <f t="shared" si="3"/>
        <v>19</v>
      </c>
      <c r="IJ11" s="17">
        <f t="shared" si="3"/>
        <v>20</v>
      </c>
      <c r="IK11" s="17">
        <f t="shared" si="3"/>
        <v>21</v>
      </c>
      <c r="IL11" s="17">
        <f t="shared" si="3"/>
        <v>22</v>
      </c>
      <c r="IM11" s="17">
        <f t="shared" si="3"/>
        <v>1</v>
      </c>
      <c r="IN11" s="17">
        <f t="shared" si="3"/>
        <v>2</v>
      </c>
      <c r="IO11" s="17">
        <f t="shared" si="3"/>
        <v>3</v>
      </c>
      <c r="IP11" s="17">
        <f t="shared" si="3"/>
        <v>4</v>
      </c>
      <c r="IQ11" s="17">
        <f t="shared" si="3"/>
        <v>5</v>
      </c>
      <c r="IR11" s="17">
        <f t="shared" si="3"/>
        <v>6</v>
      </c>
      <c r="IS11" s="17">
        <f t="shared" si="3"/>
        <v>7</v>
      </c>
      <c r="IT11" s="17">
        <f t="shared" si="3"/>
        <v>8</v>
      </c>
      <c r="IU11" s="17">
        <f t="shared" si="3"/>
        <v>9</v>
      </c>
      <c r="IV11" s="17">
        <f t="shared" si="3"/>
        <v>10</v>
      </c>
      <c r="IW11" s="17">
        <f t="shared" si="3"/>
        <v>11</v>
      </c>
      <c r="IX11" s="17">
        <f t="shared" si="3"/>
        <v>12</v>
      </c>
      <c r="IY11" s="139">
        <f t="shared" si="3"/>
        <v>13</v>
      </c>
      <c r="IZ11" s="139">
        <f t="shared" si="3"/>
        <v>14</v>
      </c>
      <c r="JA11" s="17">
        <f t="shared" si="3"/>
        <v>15</v>
      </c>
      <c r="JB11" s="17">
        <f t="shared" si="3"/>
        <v>16</v>
      </c>
      <c r="JC11" s="17">
        <f t="shared" si="3"/>
        <v>17</v>
      </c>
      <c r="JD11" s="17">
        <f t="shared" si="3"/>
        <v>18</v>
      </c>
      <c r="JE11" s="17">
        <f t="shared" si="3"/>
        <v>19</v>
      </c>
      <c r="JF11" s="17">
        <f t="shared" si="3"/>
        <v>20</v>
      </c>
      <c r="JG11" s="17">
        <f t="shared" si="3"/>
        <v>21</v>
      </c>
      <c r="JH11" s="17">
        <f t="shared" si="3"/>
        <v>22</v>
      </c>
      <c r="JI11" s="17">
        <f t="shared" si="3"/>
        <v>1</v>
      </c>
      <c r="JJ11" s="17">
        <f t="shared" si="3"/>
        <v>2</v>
      </c>
      <c r="JK11" s="17">
        <f t="shared" si="3"/>
        <v>3</v>
      </c>
      <c r="JL11" s="17">
        <f t="shared" si="3"/>
        <v>4</v>
      </c>
      <c r="JM11" s="17">
        <f t="shared" si="3"/>
        <v>5</v>
      </c>
      <c r="JN11" s="17">
        <f t="shared" si="3"/>
        <v>6</v>
      </c>
      <c r="JO11" s="17">
        <f t="shared" si="3"/>
        <v>7</v>
      </c>
      <c r="JP11" s="17">
        <f t="shared" si="3"/>
        <v>8</v>
      </c>
      <c r="JQ11" s="17">
        <f t="shared" si="3"/>
        <v>9</v>
      </c>
      <c r="JR11" s="17">
        <f t="shared" si="3"/>
        <v>10</v>
      </c>
      <c r="JS11" s="17">
        <f t="shared" si="3"/>
        <v>11</v>
      </c>
      <c r="JT11" s="17">
        <f t="shared" si="3"/>
        <v>12</v>
      </c>
      <c r="JU11" s="139">
        <f t="shared" si="3"/>
        <v>13</v>
      </c>
      <c r="JV11" s="139">
        <f t="shared" si="3"/>
        <v>14</v>
      </c>
      <c r="JW11" s="17">
        <f t="shared" ref="JW11:KZ11" si="4">JA11</f>
        <v>15</v>
      </c>
      <c r="JX11" s="17">
        <f t="shared" si="4"/>
        <v>16</v>
      </c>
      <c r="JY11" s="17">
        <f t="shared" si="4"/>
        <v>17</v>
      </c>
      <c r="JZ11" s="17">
        <f t="shared" si="4"/>
        <v>18</v>
      </c>
      <c r="KA11" s="17">
        <f t="shared" si="4"/>
        <v>19</v>
      </c>
      <c r="KB11" s="17">
        <f t="shared" si="4"/>
        <v>20</v>
      </c>
      <c r="KC11" s="17">
        <f t="shared" si="4"/>
        <v>21</v>
      </c>
      <c r="KD11" s="17">
        <f t="shared" si="4"/>
        <v>22</v>
      </c>
      <c r="KE11" s="17">
        <f t="shared" si="4"/>
        <v>1</v>
      </c>
      <c r="KF11" s="17">
        <f t="shared" si="4"/>
        <v>2</v>
      </c>
      <c r="KG11" s="17">
        <f t="shared" si="4"/>
        <v>3</v>
      </c>
      <c r="KH11" s="17">
        <f t="shared" si="4"/>
        <v>4</v>
      </c>
      <c r="KI11" s="17">
        <f t="shared" si="4"/>
        <v>5</v>
      </c>
      <c r="KJ11" s="17">
        <f t="shared" si="4"/>
        <v>6</v>
      </c>
      <c r="KK11" s="17">
        <f t="shared" si="4"/>
        <v>7</v>
      </c>
      <c r="KL11" s="17">
        <f t="shared" si="4"/>
        <v>8</v>
      </c>
      <c r="KM11" s="17">
        <f t="shared" si="4"/>
        <v>9</v>
      </c>
      <c r="KN11" s="17">
        <f t="shared" si="4"/>
        <v>10</v>
      </c>
      <c r="KO11" s="17">
        <f t="shared" si="4"/>
        <v>11</v>
      </c>
      <c r="KP11" s="17">
        <f t="shared" si="4"/>
        <v>12</v>
      </c>
      <c r="KQ11" s="139">
        <f t="shared" si="4"/>
        <v>13</v>
      </c>
      <c r="KR11" s="139">
        <f t="shared" si="4"/>
        <v>14</v>
      </c>
      <c r="KS11" s="17">
        <f t="shared" si="4"/>
        <v>15</v>
      </c>
      <c r="KT11" s="17">
        <f t="shared" si="4"/>
        <v>16</v>
      </c>
      <c r="KU11" s="17">
        <f t="shared" si="4"/>
        <v>17</v>
      </c>
      <c r="KV11" s="17">
        <f t="shared" si="4"/>
        <v>18</v>
      </c>
      <c r="KW11" s="17">
        <f t="shared" si="4"/>
        <v>19</v>
      </c>
      <c r="KX11" s="17">
        <f t="shared" si="4"/>
        <v>20</v>
      </c>
      <c r="KY11" s="17">
        <f t="shared" si="4"/>
        <v>21</v>
      </c>
      <c r="KZ11" s="17">
        <f t="shared" si="4"/>
        <v>22</v>
      </c>
    </row>
    <row r="12" spans="1:312" s="16" customFormat="1" ht="82.5" customHeight="1">
      <c r="B12" s="335"/>
      <c r="C12" s="335"/>
      <c r="D12" s="335"/>
      <c r="E12" s="231" t="s">
        <v>147</v>
      </c>
      <c r="F12" s="231" t="s">
        <v>147</v>
      </c>
      <c r="G12" s="231" t="s">
        <v>147</v>
      </c>
      <c r="H12" s="231" t="s">
        <v>147</v>
      </c>
      <c r="I12" s="231" t="s">
        <v>147</v>
      </c>
      <c r="J12" s="231" t="s">
        <v>147</v>
      </c>
      <c r="K12" s="231" t="s">
        <v>147</v>
      </c>
      <c r="L12" s="231" t="s">
        <v>147</v>
      </c>
      <c r="M12" s="231" t="s">
        <v>147</v>
      </c>
      <c r="N12" s="231" t="s">
        <v>147</v>
      </c>
      <c r="O12" s="231" t="s">
        <v>147</v>
      </c>
      <c r="P12" s="231" t="s">
        <v>147</v>
      </c>
      <c r="Q12" s="232" t="s">
        <v>147</v>
      </c>
      <c r="R12" s="232" t="s">
        <v>147</v>
      </c>
      <c r="S12" s="231" t="s">
        <v>147</v>
      </c>
      <c r="T12" s="231" t="s">
        <v>147</v>
      </c>
      <c r="U12" s="231" t="s">
        <v>147</v>
      </c>
      <c r="V12" s="231" t="s">
        <v>147</v>
      </c>
      <c r="W12" s="231" t="s">
        <v>147</v>
      </c>
      <c r="X12" s="231" t="s">
        <v>147</v>
      </c>
      <c r="Y12" s="232" t="s">
        <v>147</v>
      </c>
      <c r="Z12" s="231" t="s">
        <v>147</v>
      </c>
      <c r="AA12" s="231" t="s">
        <v>148</v>
      </c>
      <c r="AB12" s="231" t="s">
        <v>148</v>
      </c>
      <c r="AC12" s="231" t="s">
        <v>148</v>
      </c>
      <c r="AD12" s="231" t="s">
        <v>148</v>
      </c>
      <c r="AE12" s="231" t="s">
        <v>148</v>
      </c>
      <c r="AF12" s="231" t="s">
        <v>148</v>
      </c>
      <c r="AG12" s="231" t="s">
        <v>148</v>
      </c>
      <c r="AH12" s="231" t="s">
        <v>148</v>
      </c>
      <c r="AI12" s="231" t="s">
        <v>148</v>
      </c>
      <c r="AJ12" s="231" t="s">
        <v>148</v>
      </c>
      <c r="AK12" s="231" t="s">
        <v>148</v>
      </c>
      <c r="AL12" s="231" t="s">
        <v>148</v>
      </c>
      <c r="AM12" s="232" t="s">
        <v>148</v>
      </c>
      <c r="AN12" s="232" t="s">
        <v>148</v>
      </c>
      <c r="AO12" s="231" t="s">
        <v>148</v>
      </c>
      <c r="AP12" s="231" t="s">
        <v>148</v>
      </c>
      <c r="AQ12" s="231" t="s">
        <v>148</v>
      </c>
      <c r="AR12" s="231" t="s">
        <v>148</v>
      </c>
      <c r="AS12" s="231" t="s">
        <v>148</v>
      </c>
      <c r="AT12" s="231" t="s">
        <v>148</v>
      </c>
      <c r="AU12" s="231" t="s">
        <v>148</v>
      </c>
      <c r="AV12" s="231" t="s">
        <v>148</v>
      </c>
      <c r="AW12" s="231" t="s">
        <v>149</v>
      </c>
      <c r="AX12" s="231" t="s">
        <v>149</v>
      </c>
      <c r="AY12" s="231" t="s">
        <v>149</v>
      </c>
      <c r="AZ12" s="231" t="s">
        <v>149</v>
      </c>
      <c r="BA12" s="231" t="s">
        <v>149</v>
      </c>
      <c r="BB12" s="231" t="s">
        <v>149</v>
      </c>
      <c r="BC12" s="231" t="s">
        <v>149</v>
      </c>
      <c r="BD12" s="231" t="s">
        <v>149</v>
      </c>
      <c r="BE12" s="231" t="s">
        <v>149</v>
      </c>
      <c r="BF12" s="231" t="s">
        <v>149</v>
      </c>
      <c r="BG12" s="231" t="s">
        <v>149</v>
      </c>
      <c r="BH12" s="231" t="s">
        <v>149</v>
      </c>
      <c r="BI12" s="232" t="s">
        <v>149</v>
      </c>
      <c r="BJ12" s="232" t="s">
        <v>149</v>
      </c>
      <c r="BK12" s="231" t="s">
        <v>149</v>
      </c>
      <c r="BL12" s="231" t="s">
        <v>149</v>
      </c>
      <c r="BM12" s="231" t="s">
        <v>149</v>
      </c>
      <c r="BN12" s="231" t="s">
        <v>149</v>
      </c>
      <c r="BO12" s="231" t="s">
        <v>149</v>
      </c>
      <c r="BP12" s="231" t="s">
        <v>149</v>
      </c>
      <c r="BQ12" s="231" t="s">
        <v>149</v>
      </c>
      <c r="BR12" s="231" t="s">
        <v>149</v>
      </c>
      <c r="BS12" s="231" t="s">
        <v>150</v>
      </c>
      <c r="BT12" s="231" t="s">
        <v>150</v>
      </c>
      <c r="BU12" s="231" t="s">
        <v>150</v>
      </c>
      <c r="BV12" s="231" t="s">
        <v>150</v>
      </c>
      <c r="BW12" s="231" t="s">
        <v>150</v>
      </c>
      <c r="BX12" s="231" t="s">
        <v>150</v>
      </c>
      <c r="BY12" s="231" t="s">
        <v>150</v>
      </c>
      <c r="BZ12" s="231" t="s">
        <v>150</v>
      </c>
      <c r="CA12" s="231" t="s">
        <v>150</v>
      </c>
      <c r="CB12" s="231" t="s">
        <v>150</v>
      </c>
      <c r="CC12" s="231" t="s">
        <v>150</v>
      </c>
      <c r="CD12" s="231" t="s">
        <v>150</v>
      </c>
      <c r="CE12" s="232" t="s">
        <v>150</v>
      </c>
      <c r="CF12" s="232" t="s">
        <v>150</v>
      </c>
      <c r="CG12" s="231" t="s">
        <v>150</v>
      </c>
      <c r="CH12" s="231" t="s">
        <v>150</v>
      </c>
      <c r="CI12" s="231" t="s">
        <v>150</v>
      </c>
      <c r="CJ12" s="231" t="s">
        <v>150</v>
      </c>
      <c r="CK12" s="231" t="s">
        <v>150</v>
      </c>
      <c r="CL12" s="231" t="s">
        <v>150</v>
      </c>
      <c r="CM12" s="231" t="s">
        <v>150</v>
      </c>
      <c r="CN12" s="231" t="s">
        <v>150</v>
      </c>
      <c r="CO12" s="231" t="s">
        <v>151</v>
      </c>
      <c r="CP12" s="231" t="s">
        <v>151</v>
      </c>
      <c r="CQ12" s="231" t="s">
        <v>151</v>
      </c>
      <c r="CR12" s="231" t="s">
        <v>151</v>
      </c>
      <c r="CS12" s="231" t="s">
        <v>151</v>
      </c>
      <c r="CT12" s="231" t="s">
        <v>151</v>
      </c>
      <c r="CU12" s="231" t="s">
        <v>151</v>
      </c>
      <c r="CV12" s="231" t="s">
        <v>151</v>
      </c>
      <c r="CW12" s="231" t="s">
        <v>151</v>
      </c>
      <c r="CX12" s="231" t="s">
        <v>151</v>
      </c>
      <c r="CY12" s="231" t="s">
        <v>151</v>
      </c>
      <c r="CZ12" s="231" t="s">
        <v>151</v>
      </c>
      <c r="DA12" s="232" t="s">
        <v>151</v>
      </c>
      <c r="DB12" s="232" t="s">
        <v>151</v>
      </c>
      <c r="DC12" s="231" t="s">
        <v>151</v>
      </c>
      <c r="DD12" s="231" t="s">
        <v>151</v>
      </c>
      <c r="DE12" s="231" t="s">
        <v>151</v>
      </c>
      <c r="DF12" s="231" t="s">
        <v>151</v>
      </c>
      <c r="DG12" s="231" t="s">
        <v>151</v>
      </c>
      <c r="DH12" s="231" t="s">
        <v>151</v>
      </c>
      <c r="DI12" s="231" t="s">
        <v>151</v>
      </c>
      <c r="DJ12" s="231" t="s">
        <v>151</v>
      </c>
      <c r="DK12" s="231" t="s">
        <v>152</v>
      </c>
      <c r="DL12" s="231" t="s">
        <v>152</v>
      </c>
      <c r="DM12" s="231" t="s">
        <v>152</v>
      </c>
      <c r="DN12" s="231" t="s">
        <v>152</v>
      </c>
      <c r="DO12" s="231" t="s">
        <v>152</v>
      </c>
      <c r="DP12" s="231" t="s">
        <v>152</v>
      </c>
      <c r="DQ12" s="231" t="s">
        <v>152</v>
      </c>
      <c r="DR12" s="231" t="s">
        <v>152</v>
      </c>
      <c r="DS12" s="231" t="s">
        <v>152</v>
      </c>
      <c r="DT12" s="231" t="s">
        <v>152</v>
      </c>
      <c r="DU12" s="231" t="s">
        <v>152</v>
      </c>
      <c r="DV12" s="231" t="s">
        <v>152</v>
      </c>
      <c r="DW12" s="232" t="s">
        <v>152</v>
      </c>
      <c r="DX12" s="232" t="s">
        <v>152</v>
      </c>
      <c r="DY12" s="231" t="s">
        <v>152</v>
      </c>
      <c r="DZ12" s="231" t="s">
        <v>152</v>
      </c>
      <c r="EA12" s="231" t="s">
        <v>152</v>
      </c>
      <c r="EB12" s="231" t="s">
        <v>152</v>
      </c>
      <c r="EC12" s="231" t="s">
        <v>152</v>
      </c>
      <c r="ED12" s="231" t="s">
        <v>152</v>
      </c>
      <c r="EE12" s="231" t="s">
        <v>152</v>
      </c>
      <c r="EF12" s="231" t="s">
        <v>152</v>
      </c>
      <c r="EG12" s="231" t="s">
        <v>153</v>
      </c>
      <c r="EH12" s="231" t="s">
        <v>153</v>
      </c>
      <c r="EI12" s="231" t="s">
        <v>153</v>
      </c>
      <c r="EJ12" s="231" t="s">
        <v>153</v>
      </c>
      <c r="EK12" s="231" t="s">
        <v>153</v>
      </c>
      <c r="EL12" s="231" t="s">
        <v>153</v>
      </c>
      <c r="EM12" s="231" t="s">
        <v>153</v>
      </c>
      <c r="EN12" s="231" t="s">
        <v>153</v>
      </c>
      <c r="EO12" s="231" t="s">
        <v>153</v>
      </c>
      <c r="EP12" s="231" t="s">
        <v>153</v>
      </c>
      <c r="EQ12" s="231" t="s">
        <v>153</v>
      </c>
      <c r="ER12" s="231" t="s">
        <v>153</v>
      </c>
      <c r="ES12" s="232" t="s">
        <v>153</v>
      </c>
      <c r="ET12" s="232" t="s">
        <v>153</v>
      </c>
      <c r="EU12" s="231" t="s">
        <v>153</v>
      </c>
      <c r="EV12" s="231" t="s">
        <v>153</v>
      </c>
      <c r="EW12" s="231" t="s">
        <v>153</v>
      </c>
      <c r="EX12" s="231" t="s">
        <v>153</v>
      </c>
      <c r="EY12" s="231" t="s">
        <v>153</v>
      </c>
      <c r="EZ12" s="231" t="s">
        <v>153</v>
      </c>
      <c r="FA12" s="231" t="s">
        <v>153</v>
      </c>
      <c r="FB12" s="231" t="s">
        <v>153</v>
      </c>
      <c r="FC12" s="231" t="s">
        <v>154</v>
      </c>
      <c r="FD12" s="231" t="s">
        <v>154</v>
      </c>
      <c r="FE12" s="231" t="s">
        <v>154</v>
      </c>
      <c r="FF12" s="231" t="s">
        <v>154</v>
      </c>
      <c r="FG12" s="231" t="s">
        <v>154</v>
      </c>
      <c r="FH12" s="231" t="s">
        <v>154</v>
      </c>
      <c r="FI12" s="231" t="s">
        <v>154</v>
      </c>
      <c r="FJ12" s="231" t="s">
        <v>154</v>
      </c>
      <c r="FK12" s="231" t="s">
        <v>154</v>
      </c>
      <c r="FL12" s="231" t="s">
        <v>154</v>
      </c>
      <c r="FM12" s="231" t="s">
        <v>154</v>
      </c>
      <c r="FN12" s="231" t="s">
        <v>154</v>
      </c>
      <c r="FO12" s="232" t="s">
        <v>154</v>
      </c>
      <c r="FP12" s="232" t="s">
        <v>154</v>
      </c>
      <c r="FQ12" s="231" t="s">
        <v>154</v>
      </c>
      <c r="FR12" s="231" t="s">
        <v>154</v>
      </c>
      <c r="FS12" s="231" t="s">
        <v>154</v>
      </c>
      <c r="FT12" s="231" t="s">
        <v>154</v>
      </c>
      <c r="FU12" s="231" t="s">
        <v>154</v>
      </c>
      <c r="FV12" s="231" t="s">
        <v>154</v>
      </c>
      <c r="FW12" s="231" t="s">
        <v>154</v>
      </c>
      <c r="FX12" s="231" t="s">
        <v>154</v>
      </c>
      <c r="FY12" s="231" t="s">
        <v>25</v>
      </c>
      <c r="FZ12" s="231" t="s">
        <v>25</v>
      </c>
      <c r="GA12" s="231" t="s">
        <v>25</v>
      </c>
      <c r="GB12" s="231" t="s">
        <v>25</v>
      </c>
      <c r="GC12" s="231" t="s">
        <v>25</v>
      </c>
      <c r="GD12" s="231" t="s">
        <v>25</v>
      </c>
      <c r="GE12" s="231" t="s">
        <v>25</v>
      </c>
      <c r="GF12" s="231" t="s">
        <v>25</v>
      </c>
      <c r="GG12" s="231" t="s">
        <v>25</v>
      </c>
      <c r="GH12" s="231" t="s">
        <v>25</v>
      </c>
      <c r="GI12" s="231" t="s">
        <v>25</v>
      </c>
      <c r="GJ12" s="231" t="s">
        <v>25</v>
      </c>
      <c r="GK12" s="231" t="s">
        <v>25</v>
      </c>
      <c r="GL12" s="231" t="s">
        <v>25</v>
      </c>
      <c r="GM12" s="231" t="s">
        <v>25</v>
      </c>
      <c r="GN12" s="231" t="s">
        <v>25</v>
      </c>
      <c r="GO12" s="231" t="s">
        <v>25</v>
      </c>
      <c r="GP12" s="231" t="s">
        <v>25</v>
      </c>
      <c r="GQ12" s="231" t="s">
        <v>25</v>
      </c>
      <c r="GR12" s="231" t="s">
        <v>25</v>
      </c>
      <c r="GS12" s="231" t="s">
        <v>25</v>
      </c>
      <c r="GT12" s="231" t="s">
        <v>25</v>
      </c>
      <c r="GU12" s="231" t="s">
        <v>155</v>
      </c>
      <c r="GV12" s="231" t="s">
        <v>155</v>
      </c>
      <c r="GW12" s="231" t="s">
        <v>155</v>
      </c>
      <c r="GX12" s="231" t="s">
        <v>155</v>
      </c>
      <c r="GY12" s="231" t="s">
        <v>155</v>
      </c>
      <c r="GZ12" s="231" t="s">
        <v>155</v>
      </c>
      <c r="HA12" s="231" t="s">
        <v>155</v>
      </c>
      <c r="HB12" s="231" t="s">
        <v>155</v>
      </c>
      <c r="HC12" s="231" t="s">
        <v>155</v>
      </c>
      <c r="HD12" s="231" t="s">
        <v>155</v>
      </c>
      <c r="HE12" s="231" t="s">
        <v>155</v>
      </c>
      <c r="HF12" s="231" t="s">
        <v>155</v>
      </c>
      <c r="HG12" s="232" t="s">
        <v>155</v>
      </c>
      <c r="HH12" s="232" t="s">
        <v>155</v>
      </c>
      <c r="HI12" s="231" t="s">
        <v>155</v>
      </c>
      <c r="HJ12" s="231" t="s">
        <v>155</v>
      </c>
      <c r="HK12" s="231" t="s">
        <v>155</v>
      </c>
      <c r="HL12" s="231" t="s">
        <v>155</v>
      </c>
      <c r="HM12" s="231" t="s">
        <v>155</v>
      </c>
      <c r="HN12" s="231" t="s">
        <v>155</v>
      </c>
      <c r="HO12" s="231" t="s">
        <v>155</v>
      </c>
      <c r="HP12" s="231" t="s">
        <v>155</v>
      </c>
      <c r="HQ12" s="231" t="s">
        <v>156</v>
      </c>
      <c r="HR12" s="231" t="s">
        <v>156</v>
      </c>
      <c r="HS12" s="231" t="s">
        <v>156</v>
      </c>
      <c r="HT12" s="231" t="s">
        <v>156</v>
      </c>
      <c r="HU12" s="231" t="s">
        <v>156</v>
      </c>
      <c r="HV12" s="231" t="s">
        <v>156</v>
      </c>
      <c r="HW12" s="231" t="s">
        <v>156</v>
      </c>
      <c r="HX12" s="231" t="s">
        <v>156</v>
      </c>
      <c r="HY12" s="231" t="s">
        <v>156</v>
      </c>
      <c r="HZ12" s="231" t="s">
        <v>156</v>
      </c>
      <c r="IA12" s="231" t="s">
        <v>156</v>
      </c>
      <c r="IB12" s="231" t="s">
        <v>156</v>
      </c>
      <c r="IC12" s="232" t="s">
        <v>156</v>
      </c>
      <c r="ID12" s="232" t="s">
        <v>156</v>
      </c>
      <c r="IE12" s="231" t="s">
        <v>156</v>
      </c>
      <c r="IF12" s="231" t="s">
        <v>156</v>
      </c>
      <c r="IG12" s="231" t="s">
        <v>156</v>
      </c>
      <c r="IH12" s="231" t="s">
        <v>156</v>
      </c>
      <c r="II12" s="231" t="s">
        <v>156</v>
      </c>
      <c r="IJ12" s="231" t="s">
        <v>156</v>
      </c>
      <c r="IK12" s="231" t="s">
        <v>156</v>
      </c>
      <c r="IL12" s="231" t="s">
        <v>156</v>
      </c>
      <c r="IM12" s="231" t="s">
        <v>157</v>
      </c>
      <c r="IN12" s="231" t="s">
        <v>157</v>
      </c>
      <c r="IO12" s="231" t="s">
        <v>157</v>
      </c>
      <c r="IP12" s="231" t="s">
        <v>157</v>
      </c>
      <c r="IQ12" s="231" t="s">
        <v>157</v>
      </c>
      <c r="IR12" s="231" t="s">
        <v>157</v>
      </c>
      <c r="IS12" s="231" t="s">
        <v>157</v>
      </c>
      <c r="IT12" s="231" t="s">
        <v>157</v>
      </c>
      <c r="IU12" s="231" t="s">
        <v>157</v>
      </c>
      <c r="IV12" s="231" t="s">
        <v>157</v>
      </c>
      <c r="IW12" s="231" t="s">
        <v>157</v>
      </c>
      <c r="IX12" s="231" t="s">
        <v>157</v>
      </c>
      <c r="IY12" s="232" t="s">
        <v>157</v>
      </c>
      <c r="IZ12" s="232" t="s">
        <v>157</v>
      </c>
      <c r="JA12" s="231" t="s">
        <v>157</v>
      </c>
      <c r="JB12" s="231" t="s">
        <v>157</v>
      </c>
      <c r="JC12" s="231" t="s">
        <v>157</v>
      </c>
      <c r="JD12" s="231" t="s">
        <v>157</v>
      </c>
      <c r="JE12" s="231" t="s">
        <v>157</v>
      </c>
      <c r="JF12" s="231" t="s">
        <v>157</v>
      </c>
      <c r="JG12" s="231" t="s">
        <v>157</v>
      </c>
      <c r="JH12" s="231" t="s">
        <v>157</v>
      </c>
      <c r="JI12" s="231" t="s">
        <v>158</v>
      </c>
      <c r="JJ12" s="231" t="s">
        <v>158</v>
      </c>
      <c r="JK12" s="231" t="s">
        <v>158</v>
      </c>
      <c r="JL12" s="231" t="s">
        <v>158</v>
      </c>
      <c r="JM12" s="231" t="s">
        <v>158</v>
      </c>
      <c r="JN12" s="231" t="s">
        <v>158</v>
      </c>
      <c r="JO12" s="231" t="s">
        <v>158</v>
      </c>
      <c r="JP12" s="231" t="s">
        <v>158</v>
      </c>
      <c r="JQ12" s="231" t="s">
        <v>158</v>
      </c>
      <c r="JR12" s="231" t="s">
        <v>158</v>
      </c>
      <c r="JS12" s="231" t="s">
        <v>158</v>
      </c>
      <c r="JT12" s="231" t="s">
        <v>158</v>
      </c>
      <c r="JU12" s="232" t="s">
        <v>158</v>
      </c>
      <c r="JV12" s="232" t="s">
        <v>158</v>
      </c>
      <c r="JW12" s="231" t="s">
        <v>158</v>
      </c>
      <c r="JX12" s="231" t="s">
        <v>158</v>
      </c>
      <c r="JY12" s="231" t="s">
        <v>158</v>
      </c>
      <c r="JZ12" s="231" t="s">
        <v>158</v>
      </c>
      <c r="KA12" s="231" t="s">
        <v>158</v>
      </c>
      <c r="KB12" s="231" t="s">
        <v>158</v>
      </c>
      <c r="KC12" s="231" t="s">
        <v>158</v>
      </c>
      <c r="KD12" s="231" t="s">
        <v>158</v>
      </c>
      <c r="KE12" s="231" t="s">
        <v>159</v>
      </c>
      <c r="KF12" s="231" t="s">
        <v>159</v>
      </c>
      <c r="KG12" s="231" t="s">
        <v>159</v>
      </c>
      <c r="KH12" s="231" t="s">
        <v>159</v>
      </c>
      <c r="KI12" s="231" t="s">
        <v>159</v>
      </c>
      <c r="KJ12" s="231" t="s">
        <v>159</v>
      </c>
      <c r="KK12" s="231" t="s">
        <v>159</v>
      </c>
      <c r="KL12" s="231" t="s">
        <v>159</v>
      </c>
      <c r="KM12" s="231" t="s">
        <v>159</v>
      </c>
      <c r="KN12" s="231" t="s">
        <v>159</v>
      </c>
      <c r="KO12" s="231" t="s">
        <v>159</v>
      </c>
      <c r="KP12" s="231" t="s">
        <v>159</v>
      </c>
      <c r="KQ12" s="232" t="s">
        <v>159</v>
      </c>
      <c r="KR12" s="232" t="s">
        <v>159</v>
      </c>
      <c r="KS12" s="231" t="s">
        <v>159</v>
      </c>
      <c r="KT12" s="231" t="s">
        <v>159</v>
      </c>
      <c r="KU12" s="231" t="s">
        <v>159</v>
      </c>
      <c r="KV12" s="231" t="s">
        <v>159</v>
      </c>
      <c r="KW12" s="231" t="s">
        <v>159</v>
      </c>
      <c r="KX12" s="231" t="s">
        <v>159</v>
      </c>
      <c r="KY12" s="231" t="s">
        <v>159</v>
      </c>
      <c r="KZ12" s="231" t="s">
        <v>159</v>
      </c>
    </row>
    <row r="13" spans="1:312" s="16" customFormat="1" ht="106.5" customHeight="1" thickBot="1">
      <c r="B13" s="336" t="s">
        <v>41</v>
      </c>
      <c r="C13" s="336" t="s">
        <v>42</v>
      </c>
      <c r="D13" s="336" t="s">
        <v>43</v>
      </c>
      <c r="E13" s="200" t="s">
        <v>44</v>
      </c>
      <c r="F13" s="200" t="s">
        <v>45</v>
      </c>
      <c r="G13" s="200" t="s">
        <v>46</v>
      </c>
      <c r="H13" s="200" t="s">
        <v>47</v>
      </c>
      <c r="I13" s="200" t="s">
        <v>48</v>
      </c>
      <c r="J13" s="200" t="s">
        <v>49</v>
      </c>
      <c r="K13" s="200" t="s">
        <v>50</v>
      </c>
      <c r="L13" s="200" t="s">
        <v>51</v>
      </c>
      <c r="M13" s="200" t="s">
        <v>52</v>
      </c>
      <c r="N13" s="200" t="s">
        <v>53</v>
      </c>
      <c r="O13" s="200" t="s">
        <v>54</v>
      </c>
      <c r="P13" s="200" t="s">
        <v>55</v>
      </c>
      <c r="Q13" s="201" t="s">
        <v>56</v>
      </c>
      <c r="R13" s="201" t="s">
        <v>57</v>
      </c>
      <c r="S13" s="200" t="s">
        <v>58</v>
      </c>
      <c r="T13" s="200" t="s">
        <v>59</v>
      </c>
      <c r="U13" s="200" t="s">
        <v>60</v>
      </c>
      <c r="V13" s="200" t="s">
        <v>61</v>
      </c>
      <c r="W13" s="200" t="s">
        <v>62</v>
      </c>
      <c r="X13" s="200" t="s">
        <v>63</v>
      </c>
      <c r="Y13" s="201" t="s">
        <v>64</v>
      </c>
      <c r="Z13" s="200" t="s">
        <v>65</v>
      </c>
      <c r="AA13" s="200" t="str">
        <f t="shared" ref="AA13:CL13" si="5">E13</f>
        <v>Sheep + Beef  (SEPP)</v>
      </c>
      <c r="AB13" s="200" t="str">
        <f t="shared" si="5"/>
        <v>Sheep + Beef  (Non-SEPP)</v>
      </c>
      <c r="AC13" s="200" t="str">
        <f t="shared" si="5"/>
        <v>Dairy (SEPP)</v>
      </c>
      <c r="AD13" s="200" t="str">
        <f t="shared" si="5"/>
        <v>Dairy (Non-SEPP)</v>
      </c>
      <c r="AE13" s="200" t="str">
        <f t="shared" si="5"/>
        <v>Dairy support/high intensity beef or dairy grazing (SEPP)</v>
      </c>
      <c r="AF13" s="200" t="str">
        <f t="shared" si="5"/>
        <v>Dairy support/high intensity beef or dairy grazing (Non-SEPP)</v>
      </c>
      <c r="AG13" s="200" t="str">
        <f t="shared" si="5"/>
        <v>Deer (SEPP)</v>
      </c>
      <c r="AH13" s="200" t="str">
        <f t="shared" si="5"/>
        <v>Deer (Non-SEPP)</v>
      </c>
      <c r="AI13" s="200" t="str">
        <f t="shared" si="5"/>
        <v>Arable/vegetables</v>
      </c>
      <c r="AJ13" s="200" t="str">
        <f t="shared" si="5"/>
        <v>Kiwifruit</v>
      </c>
      <c r="AK13" s="200" t="str">
        <f t="shared" si="5"/>
        <v>Other horticulture</v>
      </c>
      <c r="AL13" s="200" t="str">
        <f t="shared" si="5"/>
        <v>Forestry - Exotic</v>
      </c>
      <c r="AM13" s="201" t="str">
        <f t="shared" si="5"/>
        <v>Forestry - Indigenous pre-1990</v>
      </c>
      <c r="AN13" s="201" t="str">
        <f t="shared" si="5"/>
        <v>Forestry - Indigenous post-1989</v>
      </c>
      <c r="AO13" s="200" t="str">
        <f t="shared" si="5"/>
        <v>Parks and Recreation</v>
      </c>
      <c r="AP13" s="200" t="str">
        <f t="shared" si="5"/>
        <v>Wetlands</v>
      </c>
      <c r="AQ13" s="200" t="str">
        <f t="shared" si="5"/>
        <v>Urban/road/rail</v>
      </c>
      <c r="AR13" s="200" t="str">
        <f t="shared" si="5"/>
        <v>Lifestyle block or mixed land use (SEPP)</v>
      </c>
      <c r="AS13" s="200" t="str">
        <f t="shared" si="5"/>
        <v>Lifestyle block or mixed land use (Non-SEPP)</v>
      </c>
      <c r="AT13" s="200" t="str">
        <f t="shared" si="5"/>
        <v>Hydro</v>
      </c>
      <c r="AU13" s="200" t="str">
        <f t="shared" si="5"/>
        <v>Other</v>
      </c>
      <c r="AV13" s="200" t="str">
        <f t="shared" si="5"/>
        <v>Scrub</v>
      </c>
      <c r="AW13" s="200" t="str">
        <f t="shared" si="5"/>
        <v>Sheep + Beef  (SEPP)</v>
      </c>
      <c r="AX13" s="200" t="str">
        <f t="shared" si="5"/>
        <v>Sheep + Beef  (Non-SEPP)</v>
      </c>
      <c r="AY13" s="200" t="str">
        <f t="shared" si="5"/>
        <v>Dairy (SEPP)</v>
      </c>
      <c r="AZ13" s="200" t="str">
        <f t="shared" si="5"/>
        <v>Dairy (Non-SEPP)</v>
      </c>
      <c r="BA13" s="200" t="str">
        <f t="shared" si="5"/>
        <v>Dairy support/high intensity beef or dairy grazing (SEPP)</v>
      </c>
      <c r="BB13" s="200" t="str">
        <f t="shared" si="5"/>
        <v>Dairy support/high intensity beef or dairy grazing (Non-SEPP)</v>
      </c>
      <c r="BC13" s="200" t="str">
        <f t="shared" si="5"/>
        <v>Deer (SEPP)</v>
      </c>
      <c r="BD13" s="200" t="str">
        <f t="shared" si="5"/>
        <v>Deer (Non-SEPP)</v>
      </c>
      <c r="BE13" s="200" t="str">
        <f t="shared" si="5"/>
        <v>Arable/vegetables</v>
      </c>
      <c r="BF13" s="200" t="str">
        <f t="shared" si="5"/>
        <v>Kiwifruit</v>
      </c>
      <c r="BG13" s="200" t="str">
        <f t="shared" si="5"/>
        <v>Other horticulture</v>
      </c>
      <c r="BH13" s="200" t="str">
        <f t="shared" si="5"/>
        <v>Forestry - Exotic</v>
      </c>
      <c r="BI13" s="201" t="str">
        <f t="shared" si="5"/>
        <v>Forestry - Indigenous pre-1990</v>
      </c>
      <c r="BJ13" s="201" t="str">
        <f t="shared" si="5"/>
        <v>Forestry - Indigenous post-1989</v>
      </c>
      <c r="BK13" s="200" t="str">
        <f t="shared" si="5"/>
        <v>Parks and Recreation</v>
      </c>
      <c r="BL13" s="200" t="str">
        <f t="shared" si="5"/>
        <v>Wetlands</v>
      </c>
      <c r="BM13" s="200" t="str">
        <f t="shared" si="5"/>
        <v>Urban/road/rail</v>
      </c>
      <c r="BN13" s="200" t="str">
        <f t="shared" si="5"/>
        <v>Lifestyle block or mixed land use (SEPP)</v>
      </c>
      <c r="BO13" s="200" t="str">
        <f t="shared" si="5"/>
        <v>Lifestyle block or mixed land use (Non-SEPP)</v>
      </c>
      <c r="BP13" s="200" t="str">
        <f t="shared" si="5"/>
        <v>Hydro</v>
      </c>
      <c r="BQ13" s="200" t="str">
        <f t="shared" si="5"/>
        <v>Other</v>
      </c>
      <c r="BR13" s="200" t="str">
        <f t="shared" si="5"/>
        <v>Scrub</v>
      </c>
      <c r="BS13" s="200" t="str">
        <f t="shared" si="5"/>
        <v>Sheep + Beef  (SEPP)</v>
      </c>
      <c r="BT13" s="200" t="str">
        <f t="shared" si="5"/>
        <v>Sheep + Beef  (Non-SEPP)</v>
      </c>
      <c r="BU13" s="200" t="str">
        <f t="shared" si="5"/>
        <v>Dairy (SEPP)</v>
      </c>
      <c r="BV13" s="200" t="str">
        <f t="shared" si="5"/>
        <v>Dairy (Non-SEPP)</v>
      </c>
      <c r="BW13" s="200" t="str">
        <f t="shared" si="5"/>
        <v>Dairy support/high intensity beef or dairy grazing (SEPP)</v>
      </c>
      <c r="BX13" s="200" t="str">
        <f t="shared" si="5"/>
        <v>Dairy support/high intensity beef or dairy grazing (Non-SEPP)</v>
      </c>
      <c r="BY13" s="200" t="str">
        <f t="shared" si="5"/>
        <v>Deer (SEPP)</v>
      </c>
      <c r="BZ13" s="200" t="str">
        <f t="shared" si="5"/>
        <v>Deer (Non-SEPP)</v>
      </c>
      <c r="CA13" s="200" t="str">
        <f t="shared" si="5"/>
        <v>Arable/vegetables</v>
      </c>
      <c r="CB13" s="200" t="str">
        <f t="shared" si="5"/>
        <v>Kiwifruit</v>
      </c>
      <c r="CC13" s="200" t="str">
        <f t="shared" si="5"/>
        <v>Other horticulture</v>
      </c>
      <c r="CD13" s="200" t="str">
        <f t="shared" si="5"/>
        <v>Forestry - Exotic</v>
      </c>
      <c r="CE13" s="201" t="str">
        <f t="shared" si="5"/>
        <v>Forestry - Indigenous pre-1990</v>
      </c>
      <c r="CF13" s="201" t="str">
        <f t="shared" si="5"/>
        <v>Forestry - Indigenous post-1989</v>
      </c>
      <c r="CG13" s="200" t="str">
        <f t="shared" si="5"/>
        <v>Parks and Recreation</v>
      </c>
      <c r="CH13" s="200" t="str">
        <f t="shared" si="5"/>
        <v>Wetlands</v>
      </c>
      <c r="CI13" s="200" t="str">
        <f t="shared" si="5"/>
        <v>Urban/road/rail</v>
      </c>
      <c r="CJ13" s="200" t="str">
        <f t="shared" si="5"/>
        <v>Lifestyle block or mixed land use (SEPP)</v>
      </c>
      <c r="CK13" s="200" t="str">
        <f t="shared" si="5"/>
        <v>Lifestyle block or mixed land use (Non-SEPP)</v>
      </c>
      <c r="CL13" s="200" t="str">
        <f t="shared" si="5"/>
        <v>Hydro</v>
      </c>
      <c r="CM13" s="200" t="str">
        <f t="shared" ref="CM13:EX13" si="6">BQ13</f>
        <v>Other</v>
      </c>
      <c r="CN13" s="200" t="str">
        <f t="shared" si="6"/>
        <v>Scrub</v>
      </c>
      <c r="CO13" s="200" t="str">
        <f t="shared" si="6"/>
        <v>Sheep + Beef  (SEPP)</v>
      </c>
      <c r="CP13" s="200" t="str">
        <f t="shared" si="6"/>
        <v>Sheep + Beef  (Non-SEPP)</v>
      </c>
      <c r="CQ13" s="200" t="str">
        <f t="shared" si="6"/>
        <v>Dairy (SEPP)</v>
      </c>
      <c r="CR13" s="200" t="str">
        <f t="shared" si="6"/>
        <v>Dairy (Non-SEPP)</v>
      </c>
      <c r="CS13" s="200" t="str">
        <f t="shared" si="6"/>
        <v>Dairy support/high intensity beef or dairy grazing (SEPP)</v>
      </c>
      <c r="CT13" s="200" t="str">
        <f t="shared" si="6"/>
        <v>Dairy support/high intensity beef or dairy grazing (Non-SEPP)</v>
      </c>
      <c r="CU13" s="200" t="str">
        <f t="shared" si="6"/>
        <v>Deer (SEPP)</v>
      </c>
      <c r="CV13" s="200" t="str">
        <f t="shared" si="6"/>
        <v>Deer (Non-SEPP)</v>
      </c>
      <c r="CW13" s="200" t="str">
        <f t="shared" si="6"/>
        <v>Arable/vegetables</v>
      </c>
      <c r="CX13" s="200" t="str">
        <f t="shared" si="6"/>
        <v>Kiwifruit</v>
      </c>
      <c r="CY13" s="200" t="str">
        <f t="shared" si="6"/>
        <v>Other horticulture</v>
      </c>
      <c r="CZ13" s="200" t="str">
        <f t="shared" si="6"/>
        <v>Forestry - Exotic</v>
      </c>
      <c r="DA13" s="201" t="str">
        <f t="shared" si="6"/>
        <v>Forestry - Indigenous pre-1990</v>
      </c>
      <c r="DB13" s="201" t="str">
        <f t="shared" si="6"/>
        <v>Forestry - Indigenous post-1989</v>
      </c>
      <c r="DC13" s="200" t="str">
        <f t="shared" si="6"/>
        <v>Parks and Recreation</v>
      </c>
      <c r="DD13" s="200" t="str">
        <f t="shared" si="6"/>
        <v>Wetlands</v>
      </c>
      <c r="DE13" s="200" t="str">
        <f t="shared" si="6"/>
        <v>Urban/road/rail</v>
      </c>
      <c r="DF13" s="200" t="str">
        <f t="shared" si="6"/>
        <v>Lifestyle block or mixed land use (SEPP)</v>
      </c>
      <c r="DG13" s="200" t="str">
        <f t="shared" si="6"/>
        <v>Lifestyle block or mixed land use (Non-SEPP)</v>
      </c>
      <c r="DH13" s="200" t="str">
        <f t="shared" si="6"/>
        <v>Hydro</v>
      </c>
      <c r="DI13" s="200" t="str">
        <f t="shared" si="6"/>
        <v>Other</v>
      </c>
      <c r="DJ13" s="200" t="str">
        <f t="shared" si="6"/>
        <v>Scrub</v>
      </c>
      <c r="DK13" s="200" t="str">
        <f t="shared" si="6"/>
        <v>Sheep + Beef  (SEPP)</v>
      </c>
      <c r="DL13" s="200" t="str">
        <f t="shared" si="6"/>
        <v>Sheep + Beef  (Non-SEPP)</v>
      </c>
      <c r="DM13" s="200" t="str">
        <f t="shared" si="6"/>
        <v>Dairy (SEPP)</v>
      </c>
      <c r="DN13" s="200" t="str">
        <f t="shared" si="6"/>
        <v>Dairy (Non-SEPP)</v>
      </c>
      <c r="DO13" s="200" t="str">
        <f t="shared" si="6"/>
        <v>Dairy support/high intensity beef or dairy grazing (SEPP)</v>
      </c>
      <c r="DP13" s="200" t="str">
        <f t="shared" si="6"/>
        <v>Dairy support/high intensity beef or dairy grazing (Non-SEPP)</v>
      </c>
      <c r="DQ13" s="200" t="str">
        <f t="shared" si="6"/>
        <v>Deer (SEPP)</v>
      </c>
      <c r="DR13" s="200" t="str">
        <f t="shared" si="6"/>
        <v>Deer (Non-SEPP)</v>
      </c>
      <c r="DS13" s="200" t="str">
        <f t="shared" si="6"/>
        <v>Arable/vegetables</v>
      </c>
      <c r="DT13" s="200" t="str">
        <f t="shared" si="6"/>
        <v>Kiwifruit</v>
      </c>
      <c r="DU13" s="200" t="str">
        <f t="shared" si="6"/>
        <v>Other horticulture</v>
      </c>
      <c r="DV13" s="200" t="str">
        <f t="shared" si="6"/>
        <v>Forestry - Exotic</v>
      </c>
      <c r="DW13" s="201" t="str">
        <f t="shared" si="6"/>
        <v>Forestry - Indigenous pre-1990</v>
      </c>
      <c r="DX13" s="201" t="str">
        <f t="shared" si="6"/>
        <v>Forestry - Indigenous post-1989</v>
      </c>
      <c r="DY13" s="200" t="str">
        <f t="shared" si="6"/>
        <v>Parks and Recreation</v>
      </c>
      <c r="DZ13" s="200" t="str">
        <f t="shared" si="6"/>
        <v>Wetlands</v>
      </c>
      <c r="EA13" s="200" t="str">
        <f t="shared" si="6"/>
        <v>Urban/road/rail</v>
      </c>
      <c r="EB13" s="200" t="str">
        <f t="shared" si="6"/>
        <v>Lifestyle block or mixed land use (SEPP)</v>
      </c>
      <c r="EC13" s="200" t="str">
        <f t="shared" si="6"/>
        <v>Lifestyle block or mixed land use (Non-SEPP)</v>
      </c>
      <c r="ED13" s="200" t="str">
        <f t="shared" si="6"/>
        <v>Hydro</v>
      </c>
      <c r="EE13" s="200" t="str">
        <f t="shared" si="6"/>
        <v>Other</v>
      </c>
      <c r="EF13" s="200" t="str">
        <f t="shared" si="6"/>
        <v>Scrub</v>
      </c>
      <c r="EG13" s="200" t="str">
        <f t="shared" si="6"/>
        <v>Sheep + Beef  (SEPP)</v>
      </c>
      <c r="EH13" s="200" t="str">
        <f t="shared" si="6"/>
        <v>Sheep + Beef  (Non-SEPP)</v>
      </c>
      <c r="EI13" s="200" t="str">
        <f t="shared" si="6"/>
        <v>Dairy (SEPP)</v>
      </c>
      <c r="EJ13" s="200" t="str">
        <f t="shared" si="6"/>
        <v>Dairy (Non-SEPP)</v>
      </c>
      <c r="EK13" s="200" t="str">
        <f t="shared" si="6"/>
        <v>Dairy support/high intensity beef or dairy grazing (SEPP)</v>
      </c>
      <c r="EL13" s="200" t="str">
        <f t="shared" si="6"/>
        <v>Dairy support/high intensity beef or dairy grazing (Non-SEPP)</v>
      </c>
      <c r="EM13" s="200" t="str">
        <f t="shared" si="6"/>
        <v>Deer (SEPP)</v>
      </c>
      <c r="EN13" s="200" t="str">
        <f t="shared" si="6"/>
        <v>Deer (Non-SEPP)</v>
      </c>
      <c r="EO13" s="200" t="str">
        <f t="shared" si="6"/>
        <v>Arable/vegetables</v>
      </c>
      <c r="EP13" s="200" t="str">
        <f t="shared" si="6"/>
        <v>Kiwifruit</v>
      </c>
      <c r="EQ13" s="200" t="str">
        <f t="shared" si="6"/>
        <v>Other horticulture</v>
      </c>
      <c r="ER13" s="200" t="str">
        <f t="shared" si="6"/>
        <v>Forestry - Exotic</v>
      </c>
      <c r="ES13" s="201" t="str">
        <f t="shared" si="6"/>
        <v>Forestry - Indigenous pre-1990</v>
      </c>
      <c r="ET13" s="201" t="str">
        <f t="shared" si="6"/>
        <v>Forestry - Indigenous post-1989</v>
      </c>
      <c r="EU13" s="200" t="str">
        <f t="shared" si="6"/>
        <v>Parks and Recreation</v>
      </c>
      <c r="EV13" s="200" t="str">
        <f t="shared" si="6"/>
        <v>Wetlands</v>
      </c>
      <c r="EW13" s="200" t="str">
        <f t="shared" si="6"/>
        <v>Urban/road/rail</v>
      </c>
      <c r="EX13" s="200" t="str">
        <f t="shared" si="6"/>
        <v>Lifestyle block or mixed land use (SEPP)</v>
      </c>
      <c r="EY13" s="200" t="str">
        <f t="shared" ref="EY13:HJ13" si="7">EC13</f>
        <v>Lifestyle block or mixed land use (Non-SEPP)</v>
      </c>
      <c r="EZ13" s="200" t="str">
        <f t="shared" si="7"/>
        <v>Hydro</v>
      </c>
      <c r="FA13" s="200" t="str">
        <f t="shared" si="7"/>
        <v>Other</v>
      </c>
      <c r="FB13" s="200" t="str">
        <f t="shared" si="7"/>
        <v>Scrub</v>
      </c>
      <c r="FC13" s="200" t="str">
        <f t="shared" si="7"/>
        <v>Sheep + Beef  (SEPP)</v>
      </c>
      <c r="FD13" s="200" t="str">
        <f t="shared" si="7"/>
        <v>Sheep + Beef  (Non-SEPP)</v>
      </c>
      <c r="FE13" s="200" t="str">
        <f t="shared" si="7"/>
        <v>Dairy (SEPP)</v>
      </c>
      <c r="FF13" s="200" t="str">
        <f t="shared" si="7"/>
        <v>Dairy (Non-SEPP)</v>
      </c>
      <c r="FG13" s="200" t="str">
        <f t="shared" si="7"/>
        <v>Dairy support/high intensity beef or dairy grazing (SEPP)</v>
      </c>
      <c r="FH13" s="200" t="str">
        <f t="shared" si="7"/>
        <v>Dairy support/high intensity beef or dairy grazing (Non-SEPP)</v>
      </c>
      <c r="FI13" s="200" t="str">
        <f t="shared" si="7"/>
        <v>Deer (SEPP)</v>
      </c>
      <c r="FJ13" s="200" t="str">
        <f t="shared" si="7"/>
        <v>Deer (Non-SEPP)</v>
      </c>
      <c r="FK13" s="200" t="str">
        <f t="shared" si="7"/>
        <v>Arable/vegetables</v>
      </c>
      <c r="FL13" s="200" t="str">
        <f t="shared" si="7"/>
        <v>Kiwifruit</v>
      </c>
      <c r="FM13" s="200" t="str">
        <f t="shared" si="7"/>
        <v>Other horticulture</v>
      </c>
      <c r="FN13" s="200" t="str">
        <f t="shared" si="7"/>
        <v>Forestry - Exotic</v>
      </c>
      <c r="FO13" s="201" t="str">
        <f t="shared" si="7"/>
        <v>Forestry - Indigenous pre-1990</v>
      </c>
      <c r="FP13" s="201" t="str">
        <f t="shared" si="7"/>
        <v>Forestry - Indigenous post-1989</v>
      </c>
      <c r="FQ13" s="200" t="str">
        <f t="shared" si="7"/>
        <v>Parks and Recreation</v>
      </c>
      <c r="FR13" s="200" t="str">
        <f t="shared" si="7"/>
        <v>Wetlands</v>
      </c>
      <c r="FS13" s="200" t="str">
        <f t="shared" si="7"/>
        <v>Urban/road/rail</v>
      </c>
      <c r="FT13" s="200" t="str">
        <f t="shared" si="7"/>
        <v>Lifestyle block or mixed land use (SEPP)</v>
      </c>
      <c r="FU13" s="200" t="str">
        <f t="shared" si="7"/>
        <v>Lifestyle block or mixed land use (Non-SEPP)</v>
      </c>
      <c r="FV13" s="200" t="str">
        <f t="shared" si="7"/>
        <v>Hydro</v>
      </c>
      <c r="FW13" s="200" t="str">
        <f t="shared" si="7"/>
        <v>Other</v>
      </c>
      <c r="FX13" s="200" t="str">
        <f t="shared" si="7"/>
        <v>Scrub</v>
      </c>
      <c r="FY13" s="200" t="str">
        <f t="shared" si="7"/>
        <v>Sheep + Beef  (SEPP)</v>
      </c>
      <c r="FZ13" s="200" t="str">
        <f t="shared" si="7"/>
        <v>Sheep + Beef  (Non-SEPP)</v>
      </c>
      <c r="GA13" s="200" t="str">
        <f t="shared" si="7"/>
        <v>Dairy (SEPP)</v>
      </c>
      <c r="GB13" s="200" t="str">
        <f t="shared" si="7"/>
        <v>Dairy (Non-SEPP)</v>
      </c>
      <c r="GC13" s="200" t="str">
        <f t="shared" si="7"/>
        <v>Dairy support/high intensity beef or dairy grazing (SEPP)</v>
      </c>
      <c r="GD13" s="200" t="str">
        <f t="shared" si="7"/>
        <v>Dairy support/high intensity beef or dairy grazing (Non-SEPP)</v>
      </c>
      <c r="GE13" s="200" t="str">
        <f t="shared" si="7"/>
        <v>Deer (SEPP)</v>
      </c>
      <c r="GF13" s="200" t="str">
        <f t="shared" si="7"/>
        <v>Deer (Non-SEPP)</v>
      </c>
      <c r="GG13" s="200" t="str">
        <f t="shared" si="7"/>
        <v>Arable/vegetables</v>
      </c>
      <c r="GH13" s="200" t="str">
        <f t="shared" si="7"/>
        <v>Kiwifruit</v>
      </c>
      <c r="GI13" s="200" t="str">
        <f t="shared" si="7"/>
        <v>Other horticulture</v>
      </c>
      <c r="GJ13" s="200" t="str">
        <f t="shared" si="7"/>
        <v>Forestry - Exotic</v>
      </c>
      <c r="GK13" s="201" t="str">
        <f t="shared" si="7"/>
        <v>Forestry - Indigenous pre-1990</v>
      </c>
      <c r="GL13" s="201" t="str">
        <f t="shared" si="7"/>
        <v>Forestry - Indigenous post-1989</v>
      </c>
      <c r="GM13" s="200" t="str">
        <f t="shared" si="7"/>
        <v>Parks and Recreation</v>
      </c>
      <c r="GN13" s="200" t="str">
        <f t="shared" si="7"/>
        <v>Wetlands</v>
      </c>
      <c r="GO13" s="200" t="str">
        <f t="shared" si="7"/>
        <v>Urban/road/rail</v>
      </c>
      <c r="GP13" s="200" t="str">
        <f t="shared" si="7"/>
        <v>Lifestyle block or mixed land use (SEPP)</v>
      </c>
      <c r="GQ13" s="200" t="str">
        <f t="shared" si="7"/>
        <v>Lifestyle block or mixed land use (Non-SEPP)</v>
      </c>
      <c r="GR13" s="200" t="str">
        <f t="shared" si="7"/>
        <v>Hydro</v>
      </c>
      <c r="GS13" s="200" t="str">
        <f t="shared" si="7"/>
        <v>Other</v>
      </c>
      <c r="GT13" s="200" t="str">
        <f t="shared" si="7"/>
        <v>Scrub</v>
      </c>
      <c r="GU13" s="200" t="str">
        <f t="shared" si="7"/>
        <v>Sheep + Beef  (SEPP)</v>
      </c>
      <c r="GV13" s="200" t="str">
        <f t="shared" si="7"/>
        <v>Sheep + Beef  (Non-SEPP)</v>
      </c>
      <c r="GW13" s="200" t="str">
        <f t="shared" si="7"/>
        <v>Dairy (SEPP)</v>
      </c>
      <c r="GX13" s="200" t="str">
        <f t="shared" si="7"/>
        <v>Dairy (Non-SEPP)</v>
      </c>
      <c r="GY13" s="200" t="str">
        <f t="shared" si="7"/>
        <v>Dairy support/high intensity beef or dairy grazing (SEPP)</v>
      </c>
      <c r="GZ13" s="200" t="str">
        <f t="shared" si="7"/>
        <v>Dairy support/high intensity beef or dairy grazing (Non-SEPP)</v>
      </c>
      <c r="HA13" s="200" t="str">
        <f t="shared" si="7"/>
        <v>Deer (SEPP)</v>
      </c>
      <c r="HB13" s="200" t="str">
        <f t="shared" si="7"/>
        <v>Deer (Non-SEPP)</v>
      </c>
      <c r="HC13" s="200" t="str">
        <f t="shared" si="7"/>
        <v>Arable/vegetables</v>
      </c>
      <c r="HD13" s="200" t="str">
        <f t="shared" si="7"/>
        <v>Kiwifruit</v>
      </c>
      <c r="HE13" s="200" t="str">
        <f t="shared" si="7"/>
        <v>Other horticulture</v>
      </c>
      <c r="HF13" s="200" t="str">
        <f t="shared" si="7"/>
        <v>Forestry - Exotic</v>
      </c>
      <c r="HG13" s="201" t="str">
        <f t="shared" si="7"/>
        <v>Forestry - Indigenous pre-1990</v>
      </c>
      <c r="HH13" s="201" t="str">
        <f t="shared" si="7"/>
        <v>Forestry - Indigenous post-1989</v>
      </c>
      <c r="HI13" s="200" t="str">
        <f t="shared" si="7"/>
        <v>Parks and Recreation</v>
      </c>
      <c r="HJ13" s="200" t="str">
        <f t="shared" si="7"/>
        <v>Wetlands</v>
      </c>
      <c r="HK13" s="200" t="str">
        <f t="shared" ref="HK13:JV13" si="8">GO13</f>
        <v>Urban/road/rail</v>
      </c>
      <c r="HL13" s="200" t="str">
        <f t="shared" si="8"/>
        <v>Lifestyle block or mixed land use (SEPP)</v>
      </c>
      <c r="HM13" s="200" t="str">
        <f t="shared" si="8"/>
        <v>Lifestyle block or mixed land use (Non-SEPP)</v>
      </c>
      <c r="HN13" s="200" t="str">
        <f t="shared" si="8"/>
        <v>Hydro</v>
      </c>
      <c r="HO13" s="200" t="str">
        <f t="shared" si="8"/>
        <v>Other</v>
      </c>
      <c r="HP13" s="200" t="str">
        <f t="shared" si="8"/>
        <v>Scrub</v>
      </c>
      <c r="HQ13" s="200" t="str">
        <f t="shared" si="8"/>
        <v>Sheep + Beef  (SEPP)</v>
      </c>
      <c r="HR13" s="200" t="str">
        <f t="shared" si="8"/>
        <v>Sheep + Beef  (Non-SEPP)</v>
      </c>
      <c r="HS13" s="200" t="str">
        <f t="shared" si="8"/>
        <v>Dairy (SEPP)</v>
      </c>
      <c r="HT13" s="200" t="str">
        <f t="shared" si="8"/>
        <v>Dairy (Non-SEPP)</v>
      </c>
      <c r="HU13" s="200" t="str">
        <f t="shared" si="8"/>
        <v>Dairy support/high intensity beef or dairy grazing (SEPP)</v>
      </c>
      <c r="HV13" s="200" t="str">
        <f t="shared" si="8"/>
        <v>Dairy support/high intensity beef or dairy grazing (Non-SEPP)</v>
      </c>
      <c r="HW13" s="200" t="str">
        <f t="shared" si="8"/>
        <v>Deer (SEPP)</v>
      </c>
      <c r="HX13" s="200" t="str">
        <f t="shared" si="8"/>
        <v>Deer (Non-SEPP)</v>
      </c>
      <c r="HY13" s="200" t="str">
        <f t="shared" si="8"/>
        <v>Arable/vegetables</v>
      </c>
      <c r="HZ13" s="200" t="str">
        <f t="shared" si="8"/>
        <v>Kiwifruit</v>
      </c>
      <c r="IA13" s="200" t="str">
        <f t="shared" si="8"/>
        <v>Other horticulture</v>
      </c>
      <c r="IB13" s="200" t="str">
        <f t="shared" si="8"/>
        <v>Forestry - Exotic</v>
      </c>
      <c r="IC13" s="201" t="str">
        <f t="shared" si="8"/>
        <v>Forestry - Indigenous pre-1990</v>
      </c>
      <c r="ID13" s="201" t="str">
        <f t="shared" si="8"/>
        <v>Forestry - Indigenous post-1989</v>
      </c>
      <c r="IE13" s="200" t="str">
        <f t="shared" si="8"/>
        <v>Parks and Recreation</v>
      </c>
      <c r="IF13" s="200" t="str">
        <f t="shared" si="8"/>
        <v>Wetlands</v>
      </c>
      <c r="IG13" s="200" t="str">
        <f t="shared" si="8"/>
        <v>Urban/road/rail</v>
      </c>
      <c r="IH13" s="200" t="str">
        <f t="shared" si="8"/>
        <v>Lifestyle block or mixed land use (SEPP)</v>
      </c>
      <c r="II13" s="200" t="str">
        <f t="shared" si="8"/>
        <v>Lifestyle block or mixed land use (Non-SEPP)</v>
      </c>
      <c r="IJ13" s="200" t="str">
        <f t="shared" si="8"/>
        <v>Hydro</v>
      </c>
      <c r="IK13" s="200" t="str">
        <f t="shared" si="8"/>
        <v>Other</v>
      </c>
      <c r="IL13" s="200" t="str">
        <f t="shared" si="8"/>
        <v>Scrub</v>
      </c>
      <c r="IM13" s="200" t="str">
        <f t="shared" si="8"/>
        <v>Sheep + Beef  (SEPP)</v>
      </c>
      <c r="IN13" s="200" t="str">
        <f t="shared" si="8"/>
        <v>Sheep + Beef  (Non-SEPP)</v>
      </c>
      <c r="IO13" s="200" t="str">
        <f t="shared" si="8"/>
        <v>Dairy (SEPP)</v>
      </c>
      <c r="IP13" s="200" t="str">
        <f t="shared" si="8"/>
        <v>Dairy (Non-SEPP)</v>
      </c>
      <c r="IQ13" s="200" t="str">
        <f t="shared" si="8"/>
        <v>Dairy support/high intensity beef or dairy grazing (SEPP)</v>
      </c>
      <c r="IR13" s="200" t="str">
        <f t="shared" si="8"/>
        <v>Dairy support/high intensity beef or dairy grazing (Non-SEPP)</v>
      </c>
      <c r="IS13" s="200" t="str">
        <f t="shared" si="8"/>
        <v>Deer (SEPP)</v>
      </c>
      <c r="IT13" s="200" t="str">
        <f t="shared" si="8"/>
        <v>Deer (Non-SEPP)</v>
      </c>
      <c r="IU13" s="200" t="str">
        <f t="shared" si="8"/>
        <v>Arable/vegetables</v>
      </c>
      <c r="IV13" s="200" t="str">
        <f t="shared" si="8"/>
        <v>Kiwifruit</v>
      </c>
      <c r="IW13" s="200" t="str">
        <f t="shared" si="8"/>
        <v>Other horticulture</v>
      </c>
      <c r="IX13" s="200" t="str">
        <f t="shared" si="8"/>
        <v>Forestry - Exotic</v>
      </c>
      <c r="IY13" s="201" t="str">
        <f t="shared" si="8"/>
        <v>Forestry - Indigenous pre-1990</v>
      </c>
      <c r="IZ13" s="201" t="str">
        <f t="shared" si="8"/>
        <v>Forestry - Indigenous post-1989</v>
      </c>
      <c r="JA13" s="200" t="str">
        <f t="shared" si="8"/>
        <v>Parks and Recreation</v>
      </c>
      <c r="JB13" s="200" t="str">
        <f t="shared" si="8"/>
        <v>Wetlands</v>
      </c>
      <c r="JC13" s="200" t="str">
        <f t="shared" si="8"/>
        <v>Urban/road/rail</v>
      </c>
      <c r="JD13" s="200" t="str">
        <f t="shared" si="8"/>
        <v>Lifestyle block or mixed land use (SEPP)</v>
      </c>
      <c r="JE13" s="200" t="str">
        <f t="shared" si="8"/>
        <v>Lifestyle block or mixed land use (Non-SEPP)</v>
      </c>
      <c r="JF13" s="200" t="str">
        <f t="shared" si="8"/>
        <v>Hydro</v>
      </c>
      <c r="JG13" s="200" t="str">
        <f t="shared" si="8"/>
        <v>Other</v>
      </c>
      <c r="JH13" s="200" t="str">
        <f t="shared" si="8"/>
        <v>Scrub</v>
      </c>
      <c r="JI13" s="200" t="str">
        <f t="shared" si="8"/>
        <v>Sheep + Beef  (SEPP)</v>
      </c>
      <c r="JJ13" s="200" t="str">
        <f t="shared" si="8"/>
        <v>Sheep + Beef  (Non-SEPP)</v>
      </c>
      <c r="JK13" s="200" t="str">
        <f t="shared" si="8"/>
        <v>Dairy (SEPP)</v>
      </c>
      <c r="JL13" s="200" t="str">
        <f t="shared" si="8"/>
        <v>Dairy (Non-SEPP)</v>
      </c>
      <c r="JM13" s="200" t="str">
        <f t="shared" si="8"/>
        <v>Dairy support/high intensity beef or dairy grazing (SEPP)</v>
      </c>
      <c r="JN13" s="200" t="str">
        <f t="shared" si="8"/>
        <v>Dairy support/high intensity beef or dairy grazing (Non-SEPP)</v>
      </c>
      <c r="JO13" s="200" t="str">
        <f t="shared" si="8"/>
        <v>Deer (SEPP)</v>
      </c>
      <c r="JP13" s="200" t="str">
        <f t="shared" si="8"/>
        <v>Deer (Non-SEPP)</v>
      </c>
      <c r="JQ13" s="200" t="str">
        <f t="shared" si="8"/>
        <v>Arable/vegetables</v>
      </c>
      <c r="JR13" s="200" t="str">
        <f t="shared" si="8"/>
        <v>Kiwifruit</v>
      </c>
      <c r="JS13" s="200" t="str">
        <f t="shared" si="8"/>
        <v>Other horticulture</v>
      </c>
      <c r="JT13" s="200" t="str">
        <f t="shared" si="8"/>
        <v>Forestry - Exotic</v>
      </c>
      <c r="JU13" s="201" t="str">
        <f t="shared" si="8"/>
        <v>Forestry - Indigenous pre-1990</v>
      </c>
      <c r="JV13" s="201" t="str">
        <f t="shared" si="8"/>
        <v>Forestry - Indigenous post-1989</v>
      </c>
      <c r="JW13" s="200" t="str">
        <f t="shared" ref="JW13:KZ13" si="9">JA13</f>
        <v>Parks and Recreation</v>
      </c>
      <c r="JX13" s="200" t="str">
        <f t="shared" si="9"/>
        <v>Wetlands</v>
      </c>
      <c r="JY13" s="200" t="str">
        <f t="shared" si="9"/>
        <v>Urban/road/rail</v>
      </c>
      <c r="JZ13" s="200" t="str">
        <f t="shared" si="9"/>
        <v>Lifestyle block or mixed land use (SEPP)</v>
      </c>
      <c r="KA13" s="200" t="str">
        <f t="shared" si="9"/>
        <v>Lifestyle block or mixed land use (Non-SEPP)</v>
      </c>
      <c r="KB13" s="200" t="str">
        <f t="shared" si="9"/>
        <v>Hydro</v>
      </c>
      <c r="KC13" s="200" t="str">
        <f t="shared" si="9"/>
        <v>Other</v>
      </c>
      <c r="KD13" s="200" t="str">
        <f t="shared" si="9"/>
        <v>Scrub</v>
      </c>
      <c r="KE13" s="200" t="str">
        <f t="shared" si="9"/>
        <v>Sheep + Beef  (SEPP)</v>
      </c>
      <c r="KF13" s="200" t="str">
        <f t="shared" si="9"/>
        <v>Sheep + Beef  (Non-SEPP)</v>
      </c>
      <c r="KG13" s="200" t="str">
        <f t="shared" si="9"/>
        <v>Dairy (SEPP)</v>
      </c>
      <c r="KH13" s="200" t="str">
        <f t="shared" si="9"/>
        <v>Dairy (Non-SEPP)</v>
      </c>
      <c r="KI13" s="200" t="str">
        <f t="shared" si="9"/>
        <v>Dairy support/high intensity beef or dairy grazing (SEPP)</v>
      </c>
      <c r="KJ13" s="200" t="str">
        <f t="shared" si="9"/>
        <v>Dairy support/high intensity beef or dairy grazing (Non-SEPP)</v>
      </c>
      <c r="KK13" s="200" t="str">
        <f t="shared" si="9"/>
        <v>Deer (SEPP)</v>
      </c>
      <c r="KL13" s="200" t="str">
        <f t="shared" si="9"/>
        <v>Deer (Non-SEPP)</v>
      </c>
      <c r="KM13" s="200" t="str">
        <f t="shared" si="9"/>
        <v>Arable/vegetables</v>
      </c>
      <c r="KN13" s="200" t="str">
        <f t="shared" si="9"/>
        <v>Kiwifruit</v>
      </c>
      <c r="KO13" s="200" t="str">
        <f t="shared" si="9"/>
        <v>Other horticulture</v>
      </c>
      <c r="KP13" s="200" t="str">
        <f t="shared" si="9"/>
        <v>Forestry - Exotic</v>
      </c>
      <c r="KQ13" s="201" t="str">
        <f t="shared" si="9"/>
        <v>Forestry - Indigenous pre-1990</v>
      </c>
      <c r="KR13" s="201" t="str">
        <f t="shared" si="9"/>
        <v>Forestry - Indigenous post-1989</v>
      </c>
      <c r="KS13" s="200" t="str">
        <f t="shared" si="9"/>
        <v>Parks and Recreation</v>
      </c>
      <c r="KT13" s="200" t="str">
        <f t="shared" si="9"/>
        <v>Wetlands</v>
      </c>
      <c r="KU13" s="200" t="str">
        <f t="shared" si="9"/>
        <v>Urban/road/rail</v>
      </c>
      <c r="KV13" s="200" t="str">
        <f t="shared" si="9"/>
        <v>Lifestyle block or mixed land use (SEPP)</v>
      </c>
      <c r="KW13" s="200" t="str">
        <f t="shared" si="9"/>
        <v>Lifestyle block or mixed land use (Non-SEPP)</v>
      </c>
      <c r="KX13" s="200" t="str">
        <f t="shared" si="9"/>
        <v>Hydro</v>
      </c>
      <c r="KY13" s="200" t="str">
        <f t="shared" si="9"/>
        <v>Other</v>
      </c>
      <c r="KZ13" s="200" t="str">
        <f t="shared" si="9"/>
        <v>Scrub</v>
      </c>
    </row>
    <row r="14" spans="1:312" ht="15" customHeight="1">
      <c r="B14" s="345" t="s">
        <v>66</v>
      </c>
      <c r="C14" t="s">
        <v>67</v>
      </c>
      <c r="D14" t="s">
        <v>68</v>
      </c>
      <c r="E14" s="137">
        <v>429</v>
      </c>
      <c r="F14" s="137">
        <v>608</v>
      </c>
      <c r="G14" s="137">
        <v>2421</v>
      </c>
      <c r="H14" s="177">
        <v>5764</v>
      </c>
      <c r="I14" s="177">
        <v>421</v>
      </c>
      <c r="J14" s="177">
        <v>1003</v>
      </c>
      <c r="K14" s="177">
        <v>190</v>
      </c>
      <c r="L14" s="177">
        <v>452</v>
      </c>
      <c r="M14" s="177">
        <v>3566</v>
      </c>
      <c r="N14" s="137">
        <v>72884</v>
      </c>
      <c r="O14" s="252">
        <v>18890</v>
      </c>
      <c r="P14" s="177">
        <v>355</v>
      </c>
      <c r="Q14" s="56" t="s">
        <v>160</v>
      </c>
      <c r="R14" s="56" t="s">
        <v>160</v>
      </c>
      <c r="S14" s="50" t="s">
        <v>160</v>
      </c>
      <c r="T14" s="50" t="s">
        <v>160</v>
      </c>
      <c r="U14" s="50" t="s">
        <v>160</v>
      </c>
      <c r="V14" s="50" t="s">
        <v>160</v>
      </c>
      <c r="W14" s="50" t="s">
        <v>160</v>
      </c>
      <c r="X14" s="50" t="s">
        <v>160</v>
      </c>
      <c r="Y14" s="56" t="s">
        <v>160</v>
      </c>
      <c r="Z14" s="50" t="s">
        <v>160</v>
      </c>
      <c r="AA14" s="137">
        <v>429</v>
      </c>
      <c r="AB14" s="137">
        <v>608</v>
      </c>
      <c r="AC14" s="137">
        <v>2421</v>
      </c>
      <c r="AD14" s="177">
        <v>5764</v>
      </c>
      <c r="AE14" s="177">
        <v>421</v>
      </c>
      <c r="AF14" s="177">
        <v>1003</v>
      </c>
      <c r="AG14" s="177">
        <v>190</v>
      </c>
      <c r="AH14" s="177">
        <v>452</v>
      </c>
      <c r="AI14" s="177">
        <v>3566</v>
      </c>
      <c r="AJ14" s="137">
        <v>72884</v>
      </c>
      <c r="AK14" s="177">
        <v>18890</v>
      </c>
      <c r="AL14" s="177">
        <v>355</v>
      </c>
      <c r="AM14" s="56" t="s">
        <v>160</v>
      </c>
      <c r="AN14" s="56" t="s">
        <v>160</v>
      </c>
      <c r="AO14" s="50" t="s">
        <v>160</v>
      </c>
      <c r="AP14" s="50" t="s">
        <v>160</v>
      </c>
      <c r="AQ14" s="50" t="s">
        <v>160</v>
      </c>
      <c r="AR14" s="50" t="s">
        <v>160</v>
      </c>
      <c r="AS14" s="50" t="s">
        <v>160</v>
      </c>
      <c r="AT14" s="50" t="s">
        <v>160</v>
      </c>
      <c r="AU14" s="50" t="s">
        <v>160</v>
      </c>
      <c r="AV14" s="50" t="s">
        <v>160</v>
      </c>
      <c r="AW14" s="50" t="s">
        <v>160</v>
      </c>
      <c r="AX14" s="50" t="s">
        <v>160</v>
      </c>
      <c r="AY14" s="50" t="s">
        <v>160</v>
      </c>
      <c r="AZ14" s="50" t="s">
        <v>160</v>
      </c>
      <c r="BA14" s="50" t="s">
        <v>160</v>
      </c>
      <c r="BB14" s="50" t="s">
        <v>160</v>
      </c>
      <c r="BC14" s="50" t="s">
        <v>160</v>
      </c>
      <c r="BD14" s="50" t="s">
        <v>160</v>
      </c>
      <c r="BE14" s="50" t="s">
        <v>160</v>
      </c>
      <c r="BF14" s="50" t="s">
        <v>160</v>
      </c>
      <c r="BG14" s="50" t="s">
        <v>160</v>
      </c>
      <c r="BH14" s="50" t="s">
        <v>160</v>
      </c>
      <c r="BI14" s="56" t="s">
        <v>160</v>
      </c>
      <c r="BJ14" s="56" t="s">
        <v>160</v>
      </c>
      <c r="BK14" s="50" t="s">
        <v>160</v>
      </c>
      <c r="BL14" s="50" t="s">
        <v>160</v>
      </c>
      <c r="BM14" s="50" t="s">
        <v>160</v>
      </c>
      <c r="BN14" s="50" t="s">
        <v>160</v>
      </c>
      <c r="BO14" s="50" t="s">
        <v>160</v>
      </c>
      <c r="BP14" s="50" t="s">
        <v>160</v>
      </c>
      <c r="BQ14" s="50" t="s">
        <v>160</v>
      </c>
      <c r="BR14" s="50" t="s">
        <v>160</v>
      </c>
      <c r="BS14" s="137">
        <v>429</v>
      </c>
      <c r="BT14" s="137">
        <v>608</v>
      </c>
      <c r="BU14" s="137">
        <v>2421</v>
      </c>
      <c r="BV14" s="177">
        <v>5764</v>
      </c>
      <c r="BW14" s="177">
        <v>421</v>
      </c>
      <c r="BX14" s="177">
        <v>1003</v>
      </c>
      <c r="BY14" s="177">
        <v>190</v>
      </c>
      <c r="BZ14" s="177">
        <v>452</v>
      </c>
      <c r="CA14" s="177">
        <v>3566</v>
      </c>
      <c r="CB14" s="137">
        <v>72884</v>
      </c>
      <c r="CC14" s="177">
        <v>18890</v>
      </c>
      <c r="CD14" s="177">
        <v>355</v>
      </c>
      <c r="CE14" s="56" t="s">
        <v>160</v>
      </c>
      <c r="CF14" s="56" t="s">
        <v>160</v>
      </c>
      <c r="CG14" s="50" t="s">
        <v>160</v>
      </c>
      <c r="CH14" s="50" t="s">
        <v>160</v>
      </c>
      <c r="CI14" s="50" t="s">
        <v>160</v>
      </c>
      <c r="CJ14" s="50" t="s">
        <v>160</v>
      </c>
      <c r="CK14" s="50" t="s">
        <v>160</v>
      </c>
      <c r="CL14" s="50" t="s">
        <v>160</v>
      </c>
      <c r="CM14" s="50" t="s">
        <v>160</v>
      </c>
      <c r="CN14" s="50" t="s">
        <v>160</v>
      </c>
      <c r="CO14" s="137">
        <v>429</v>
      </c>
      <c r="CP14" s="137">
        <v>608</v>
      </c>
      <c r="CQ14" s="137">
        <v>2421</v>
      </c>
      <c r="CR14" s="177">
        <v>5764</v>
      </c>
      <c r="CS14" s="177">
        <v>421</v>
      </c>
      <c r="CT14" s="177">
        <v>1003</v>
      </c>
      <c r="CU14" s="177">
        <v>190</v>
      </c>
      <c r="CV14" s="177">
        <v>452</v>
      </c>
      <c r="CW14" s="177">
        <v>3566</v>
      </c>
      <c r="CX14" s="137">
        <v>72884</v>
      </c>
      <c r="CY14" s="177">
        <v>18890</v>
      </c>
      <c r="CZ14" s="177">
        <v>355</v>
      </c>
      <c r="DA14" s="56" t="s">
        <v>160</v>
      </c>
      <c r="DB14" s="56" t="s">
        <v>160</v>
      </c>
      <c r="DC14" s="50" t="s">
        <v>160</v>
      </c>
      <c r="DD14" s="50" t="s">
        <v>160</v>
      </c>
      <c r="DE14" s="50" t="s">
        <v>160</v>
      </c>
      <c r="DF14" s="50" t="s">
        <v>160</v>
      </c>
      <c r="DG14" s="50" t="s">
        <v>160</v>
      </c>
      <c r="DH14" s="50" t="s">
        <v>160</v>
      </c>
      <c r="DI14" s="50" t="s">
        <v>160</v>
      </c>
      <c r="DJ14" s="50" t="s">
        <v>160</v>
      </c>
      <c r="DK14" s="137">
        <v>429</v>
      </c>
      <c r="DL14" s="137">
        <v>608</v>
      </c>
      <c r="DM14" s="137">
        <v>2421</v>
      </c>
      <c r="DN14" s="177">
        <v>5764</v>
      </c>
      <c r="DO14" s="177">
        <v>421</v>
      </c>
      <c r="DP14" s="177">
        <v>1003</v>
      </c>
      <c r="DQ14" s="177">
        <v>190</v>
      </c>
      <c r="DR14" s="177">
        <v>452</v>
      </c>
      <c r="DS14" s="177">
        <v>3566</v>
      </c>
      <c r="DT14" s="137">
        <v>72884</v>
      </c>
      <c r="DU14" s="177">
        <v>18890</v>
      </c>
      <c r="DV14" s="177">
        <v>355</v>
      </c>
      <c r="DW14" s="56" t="s">
        <v>160</v>
      </c>
      <c r="DX14" s="56" t="s">
        <v>160</v>
      </c>
      <c r="DY14" s="50" t="s">
        <v>160</v>
      </c>
      <c r="DZ14" s="50" t="s">
        <v>160</v>
      </c>
      <c r="EA14" s="50" t="s">
        <v>160</v>
      </c>
      <c r="EB14" s="50" t="s">
        <v>160</v>
      </c>
      <c r="EC14" s="50" t="s">
        <v>160</v>
      </c>
      <c r="ED14" s="50" t="s">
        <v>160</v>
      </c>
      <c r="EE14" s="50" t="s">
        <v>160</v>
      </c>
      <c r="EF14" s="50" t="s">
        <v>160</v>
      </c>
      <c r="EG14" s="137">
        <v>429</v>
      </c>
      <c r="EH14" s="137">
        <v>608</v>
      </c>
      <c r="EI14" s="137">
        <v>2421</v>
      </c>
      <c r="EJ14" s="177">
        <v>5764</v>
      </c>
      <c r="EK14" s="177">
        <v>421</v>
      </c>
      <c r="EL14" s="177">
        <v>1003</v>
      </c>
      <c r="EM14" s="177">
        <v>190</v>
      </c>
      <c r="EN14" s="177">
        <v>452</v>
      </c>
      <c r="EO14" s="177">
        <v>3566</v>
      </c>
      <c r="EP14" s="137">
        <v>72884</v>
      </c>
      <c r="EQ14" s="177">
        <v>18890</v>
      </c>
      <c r="ER14" s="177">
        <v>355</v>
      </c>
      <c r="ES14" s="56" t="s">
        <v>160</v>
      </c>
      <c r="ET14" s="56" t="s">
        <v>160</v>
      </c>
      <c r="EU14" s="50" t="s">
        <v>160</v>
      </c>
      <c r="EV14" s="50" t="s">
        <v>160</v>
      </c>
      <c r="EW14" s="50" t="s">
        <v>160</v>
      </c>
      <c r="EX14" s="50" t="s">
        <v>160</v>
      </c>
      <c r="EY14" s="50" t="s">
        <v>160</v>
      </c>
      <c r="EZ14" s="50" t="s">
        <v>160</v>
      </c>
      <c r="FA14" s="50" t="s">
        <v>160</v>
      </c>
      <c r="FB14" s="50" t="s">
        <v>160</v>
      </c>
      <c r="FC14" s="137">
        <v>429</v>
      </c>
      <c r="FD14" s="137">
        <v>608</v>
      </c>
      <c r="FE14" s="137">
        <v>2421</v>
      </c>
      <c r="FF14" s="177">
        <v>5764</v>
      </c>
      <c r="FG14" s="177">
        <v>421</v>
      </c>
      <c r="FH14" s="177">
        <v>1003</v>
      </c>
      <c r="FI14" s="177">
        <v>190</v>
      </c>
      <c r="FJ14" s="177">
        <v>452</v>
      </c>
      <c r="FK14" s="177">
        <v>3566</v>
      </c>
      <c r="FL14" s="137">
        <v>72884</v>
      </c>
      <c r="FM14" s="177">
        <v>18890</v>
      </c>
      <c r="FN14" s="177">
        <v>355</v>
      </c>
      <c r="FO14" s="56" t="s">
        <v>160</v>
      </c>
      <c r="FP14" s="56" t="s">
        <v>160</v>
      </c>
      <c r="FQ14" s="50" t="s">
        <v>160</v>
      </c>
      <c r="FR14" s="50" t="s">
        <v>160</v>
      </c>
      <c r="FS14" s="50" t="s">
        <v>160</v>
      </c>
      <c r="FT14" s="50" t="s">
        <v>160</v>
      </c>
      <c r="FU14" s="50" t="s">
        <v>160</v>
      </c>
      <c r="FV14" s="50" t="s">
        <v>160</v>
      </c>
      <c r="FW14" s="50" t="s">
        <v>160</v>
      </c>
      <c r="FX14" s="50" t="s">
        <v>160</v>
      </c>
      <c r="FY14" s="137">
        <v>429</v>
      </c>
      <c r="FZ14" s="137">
        <v>608</v>
      </c>
      <c r="GA14" s="137">
        <v>2421</v>
      </c>
      <c r="GB14" s="177">
        <v>5764</v>
      </c>
      <c r="GC14" s="177">
        <v>421</v>
      </c>
      <c r="GD14" s="177">
        <v>1003</v>
      </c>
      <c r="GE14" s="177">
        <v>190</v>
      </c>
      <c r="GF14" s="177">
        <v>452</v>
      </c>
      <c r="GG14" s="177">
        <v>3566</v>
      </c>
      <c r="GH14" s="137">
        <v>72884</v>
      </c>
      <c r="GI14" s="177">
        <v>18890</v>
      </c>
      <c r="GJ14" s="177">
        <v>355</v>
      </c>
      <c r="GK14" s="56" t="s">
        <v>160</v>
      </c>
      <c r="GL14" s="56" t="s">
        <v>160</v>
      </c>
      <c r="GM14" s="50" t="s">
        <v>160</v>
      </c>
      <c r="GN14" s="50" t="s">
        <v>160</v>
      </c>
      <c r="GO14" s="50" t="s">
        <v>160</v>
      </c>
      <c r="GP14" s="50" t="s">
        <v>160</v>
      </c>
      <c r="GQ14" s="50" t="s">
        <v>160</v>
      </c>
      <c r="GR14" s="50" t="s">
        <v>160</v>
      </c>
      <c r="GS14" s="50" t="s">
        <v>160</v>
      </c>
      <c r="GT14" s="50" t="s">
        <v>160</v>
      </c>
      <c r="GU14" s="137">
        <v>429</v>
      </c>
      <c r="GV14" s="137">
        <v>608</v>
      </c>
      <c r="GW14" s="137">
        <v>2421</v>
      </c>
      <c r="GX14" s="177">
        <v>5764</v>
      </c>
      <c r="GY14" s="177">
        <v>421</v>
      </c>
      <c r="GZ14" s="177">
        <v>1003</v>
      </c>
      <c r="HA14" s="177">
        <v>190</v>
      </c>
      <c r="HB14" s="177">
        <v>452</v>
      </c>
      <c r="HC14" s="177">
        <v>3566</v>
      </c>
      <c r="HD14" s="137">
        <v>72884</v>
      </c>
      <c r="HE14" s="177">
        <v>18890</v>
      </c>
      <c r="HF14" s="177">
        <v>355</v>
      </c>
      <c r="HG14" s="56" t="s">
        <v>160</v>
      </c>
      <c r="HH14" s="56" t="s">
        <v>160</v>
      </c>
      <c r="HI14" s="50" t="s">
        <v>160</v>
      </c>
      <c r="HJ14" s="50" t="s">
        <v>160</v>
      </c>
      <c r="HK14" s="50" t="s">
        <v>160</v>
      </c>
      <c r="HL14" s="50" t="s">
        <v>160</v>
      </c>
      <c r="HM14" s="50" t="s">
        <v>160</v>
      </c>
      <c r="HN14" s="50" t="s">
        <v>160</v>
      </c>
      <c r="HO14" s="50" t="s">
        <v>160</v>
      </c>
      <c r="HP14" s="50" t="s">
        <v>160</v>
      </c>
      <c r="HQ14" s="137">
        <v>429</v>
      </c>
      <c r="HR14" s="137">
        <v>608</v>
      </c>
      <c r="HS14" s="137">
        <v>2421</v>
      </c>
      <c r="HT14" s="177">
        <v>5764</v>
      </c>
      <c r="HU14" s="177">
        <v>421</v>
      </c>
      <c r="HV14" s="177">
        <v>1003</v>
      </c>
      <c r="HW14" s="177">
        <v>190</v>
      </c>
      <c r="HX14" s="177">
        <v>452</v>
      </c>
      <c r="HY14" s="177">
        <v>3566</v>
      </c>
      <c r="HZ14" s="137">
        <v>72884</v>
      </c>
      <c r="IA14" s="177">
        <v>18890</v>
      </c>
      <c r="IB14" s="177">
        <v>355</v>
      </c>
      <c r="IC14" s="56" t="s">
        <v>160</v>
      </c>
      <c r="ID14" s="56" t="s">
        <v>160</v>
      </c>
      <c r="IE14" s="50" t="s">
        <v>160</v>
      </c>
      <c r="IF14" s="50" t="s">
        <v>160</v>
      </c>
      <c r="IG14" s="50" t="s">
        <v>160</v>
      </c>
      <c r="IH14" s="50" t="s">
        <v>160</v>
      </c>
      <c r="II14" s="50" t="s">
        <v>160</v>
      </c>
      <c r="IJ14" s="50" t="s">
        <v>160</v>
      </c>
      <c r="IK14" s="50" t="s">
        <v>160</v>
      </c>
      <c r="IL14" s="50" t="s">
        <v>160</v>
      </c>
      <c r="IM14" s="137">
        <v>429</v>
      </c>
      <c r="IN14" s="137">
        <v>608</v>
      </c>
      <c r="IO14" s="137">
        <v>2421</v>
      </c>
      <c r="IP14" s="177">
        <v>5764</v>
      </c>
      <c r="IQ14" s="177">
        <v>421</v>
      </c>
      <c r="IR14" s="177">
        <v>1003</v>
      </c>
      <c r="IS14" s="177">
        <v>190</v>
      </c>
      <c r="IT14" s="177">
        <v>452</v>
      </c>
      <c r="IU14" s="177">
        <v>3566</v>
      </c>
      <c r="IV14" s="137">
        <v>72884</v>
      </c>
      <c r="IW14" s="177">
        <v>18890</v>
      </c>
      <c r="IX14" s="177">
        <v>355</v>
      </c>
      <c r="IY14" s="56" t="s">
        <v>160</v>
      </c>
      <c r="IZ14" s="56" t="s">
        <v>160</v>
      </c>
      <c r="JA14" s="50" t="s">
        <v>160</v>
      </c>
      <c r="JB14" s="50" t="s">
        <v>160</v>
      </c>
      <c r="JC14" s="50" t="s">
        <v>160</v>
      </c>
      <c r="JD14" s="50" t="s">
        <v>160</v>
      </c>
      <c r="JE14" s="50" t="s">
        <v>160</v>
      </c>
      <c r="JF14" s="50" t="s">
        <v>160</v>
      </c>
      <c r="JG14" s="50" t="s">
        <v>160</v>
      </c>
      <c r="JH14" s="50" t="s">
        <v>160</v>
      </c>
      <c r="JI14" s="137">
        <v>429</v>
      </c>
      <c r="JJ14" s="137">
        <v>608</v>
      </c>
      <c r="JK14" s="137">
        <v>2421</v>
      </c>
      <c r="JL14" s="177">
        <v>5764</v>
      </c>
      <c r="JM14" s="177">
        <v>421</v>
      </c>
      <c r="JN14" s="177">
        <v>1003</v>
      </c>
      <c r="JO14" s="177">
        <v>190</v>
      </c>
      <c r="JP14" s="177">
        <v>452</v>
      </c>
      <c r="JQ14" s="177">
        <v>3566</v>
      </c>
      <c r="JR14" s="137">
        <v>72884</v>
      </c>
      <c r="JS14" s="177">
        <v>18890</v>
      </c>
      <c r="JT14" s="177">
        <v>355</v>
      </c>
      <c r="JU14" s="56" t="s">
        <v>160</v>
      </c>
      <c r="JV14" s="56" t="s">
        <v>160</v>
      </c>
      <c r="JW14" s="50" t="s">
        <v>160</v>
      </c>
      <c r="JX14" s="50" t="s">
        <v>160</v>
      </c>
      <c r="JY14" s="50" t="s">
        <v>160</v>
      </c>
      <c r="JZ14" s="50" t="s">
        <v>160</v>
      </c>
      <c r="KA14" s="50" t="s">
        <v>160</v>
      </c>
      <c r="KB14" s="50" t="s">
        <v>160</v>
      </c>
      <c r="KC14" s="50" t="s">
        <v>160</v>
      </c>
      <c r="KD14" s="50" t="s">
        <v>160</v>
      </c>
      <c r="KE14" s="137">
        <v>429</v>
      </c>
      <c r="KF14" s="137">
        <v>608</v>
      </c>
      <c r="KG14" s="137">
        <v>2421</v>
      </c>
      <c r="KH14" s="177">
        <v>5764</v>
      </c>
      <c r="KI14" s="177">
        <v>421</v>
      </c>
      <c r="KJ14" s="177">
        <v>1003</v>
      </c>
      <c r="KK14" s="177">
        <v>190</v>
      </c>
      <c r="KL14" s="177">
        <v>452</v>
      </c>
      <c r="KM14" s="177">
        <v>3566</v>
      </c>
      <c r="KN14" s="137">
        <v>72884</v>
      </c>
      <c r="KO14" s="177">
        <v>18890</v>
      </c>
      <c r="KP14" s="177">
        <v>355</v>
      </c>
      <c r="KQ14" s="56" t="s">
        <v>160</v>
      </c>
      <c r="KR14" s="56" t="s">
        <v>160</v>
      </c>
      <c r="KS14" s="50" t="s">
        <v>160</v>
      </c>
      <c r="KT14" s="50" t="s">
        <v>160</v>
      </c>
      <c r="KU14" s="50" t="s">
        <v>160</v>
      </c>
      <c r="KV14" s="50" t="s">
        <v>160</v>
      </c>
      <c r="KW14" s="50" t="s">
        <v>160</v>
      </c>
      <c r="KX14" s="50" t="s">
        <v>160</v>
      </c>
      <c r="KY14" s="50" t="s">
        <v>160</v>
      </c>
      <c r="KZ14" s="50" t="s">
        <v>160</v>
      </c>
    </row>
    <row r="15" spans="1:312" ht="15" customHeight="1">
      <c r="B15" s="345"/>
      <c r="C15" t="s">
        <v>69</v>
      </c>
      <c r="D15" t="s">
        <v>68</v>
      </c>
      <c r="E15" s="137">
        <v>668</v>
      </c>
      <c r="F15" s="137">
        <v>948</v>
      </c>
      <c r="G15" s="137">
        <v>3205</v>
      </c>
      <c r="H15" s="177">
        <v>7632</v>
      </c>
      <c r="I15" s="177">
        <v>558</v>
      </c>
      <c r="J15" s="177">
        <v>1328</v>
      </c>
      <c r="K15" s="177">
        <v>307</v>
      </c>
      <c r="L15" s="177">
        <v>731</v>
      </c>
      <c r="M15" s="177">
        <v>5557</v>
      </c>
      <c r="N15" s="137">
        <v>110169</v>
      </c>
      <c r="O15" s="252">
        <v>28554</v>
      </c>
      <c r="P15" s="177">
        <v>739</v>
      </c>
      <c r="Q15" s="56" t="s">
        <v>160</v>
      </c>
      <c r="R15" s="56" t="s">
        <v>160</v>
      </c>
      <c r="S15" s="50" t="s">
        <v>160</v>
      </c>
      <c r="T15" s="50" t="s">
        <v>160</v>
      </c>
      <c r="U15" s="50" t="s">
        <v>160</v>
      </c>
      <c r="V15" s="50" t="s">
        <v>160</v>
      </c>
      <c r="W15" s="50" t="s">
        <v>160</v>
      </c>
      <c r="X15" s="50" t="s">
        <v>160</v>
      </c>
      <c r="Y15" s="56" t="s">
        <v>160</v>
      </c>
      <c r="Z15" s="50" t="s">
        <v>160</v>
      </c>
      <c r="AA15" s="137">
        <v>614</v>
      </c>
      <c r="AB15" s="137">
        <v>872</v>
      </c>
      <c r="AC15" s="137">
        <v>3302</v>
      </c>
      <c r="AD15" s="177">
        <v>7862</v>
      </c>
      <c r="AE15" s="177">
        <v>575</v>
      </c>
      <c r="AF15" s="177">
        <v>1368</v>
      </c>
      <c r="AG15" s="177">
        <v>293</v>
      </c>
      <c r="AH15" s="177">
        <v>697</v>
      </c>
      <c r="AI15" s="177">
        <v>5110</v>
      </c>
      <c r="AJ15" s="137">
        <v>115919</v>
      </c>
      <c r="AK15" s="177">
        <v>30044</v>
      </c>
      <c r="AL15" s="177">
        <v>755</v>
      </c>
      <c r="AM15" s="56" t="s">
        <v>160</v>
      </c>
      <c r="AN15" s="56" t="s">
        <v>160</v>
      </c>
      <c r="AO15" s="50" t="s">
        <v>160</v>
      </c>
      <c r="AP15" s="50" t="s">
        <v>160</v>
      </c>
      <c r="AQ15" s="50" t="s">
        <v>160</v>
      </c>
      <c r="AR15" s="50" t="s">
        <v>160</v>
      </c>
      <c r="AS15" s="50" t="s">
        <v>160</v>
      </c>
      <c r="AT15" s="50" t="s">
        <v>160</v>
      </c>
      <c r="AU15" s="50" t="s">
        <v>160</v>
      </c>
      <c r="AV15" s="50" t="s">
        <v>160</v>
      </c>
      <c r="AW15" s="50" t="s">
        <v>160</v>
      </c>
      <c r="AX15" s="50" t="s">
        <v>160</v>
      </c>
      <c r="AY15" s="50" t="s">
        <v>160</v>
      </c>
      <c r="AZ15" s="50" t="s">
        <v>160</v>
      </c>
      <c r="BA15" s="50" t="s">
        <v>160</v>
      </c>
      <c r="BB15" s="50" t="s">
        <v>160</v>
      </c>
      <c r="BC15" s="50" t="s">
        <v>160</v>
      </c>
      <c r="BD15" s="50" t="s">
        <v>160</v>
      </c>
      <c r="BE15" s="50" t="s">
        <v>160</v>
      </c>
      <c r="BF15" s="50" t="s">
        <v>160</v>
      </c>
      <c r="BG15" s="50" t="s">
        <v>160</v>
      </c>
      <c r="BH15" s="50" t="s">
        <v>160</v>
      </c>
      <c r="BI15" s="56" t="s">
        <v>160</v>
      </c>
      <c r="BJ15" s="56" t="s">
        <v>160</v>
      </c>
      <c r="BK15" s="50" t="s">
        <v>160</v>
      </c>
      <c r="BL15" s="50" t="s">
        <v>160</v>
      </c>
      <c r="BM15" s="50" t="s">
        <v>160</v>
      </c>
      <c r="BN15" s="50" t="s">
        <v>160</v>
      </c>
      <c r="BO15" s="50" t="s">
        <v>160</v>
      </c>
      <c r="BP15" s="50" t="s">
        <v>160</v>
      </c>
      <c r="BQ15" s="50" t="s">
        <v>160</v>
      </c>
      <c r="BR15" s="50" t="s">
        <v>160</v>
      </c>
      <c r="BS15" s="137">
        <v>696</v>
      </c>
      <c r="BT15" s="137">
        <v>988</v>
      </c>
      <c r="BU15" s="137">
        <v>3360</v>
      </c>
      <c r="BV15" s="177">
        <v>8001</v>
      </c>
      <c r="BW15" s="177">
        <v>585</v>
      </c>
      <c r="BX15" s="177">
        <v>1392</v>
      </c>
      <c r="BY15" s="177">
        <v>326</v>
      </c>
      <c r="BZ15" s="177">
        <v>777</v>
      </c>
      <c r="CA15" s="177">
        <v>5792</v>
      </c>
      <c r="CB15" s="137">
        <v>120438</v>
      </c>
      <c r="CC15" s="177">
        <v>31216</v>
      </c>
      <c r="CD15" s="177">
        <v>759</v>
      </c>
      <c r="CE15" s="56" t="s">
        <v>160</v>
      </c>
      <c r="CF15" s="56" t="s">
        <v>160</v>
      </c>
      <c r="CG15" s="50" t="s">
        <v>160</v>
      </c>
      <c r="CH15" s="50" t="s">
        <v>160</v>
      </c>
      <c r="CI15" s="50" t="s">
        <v>160</v>
      </c>
      <c r="CJ15" s="50" t="s">
        <v>160</v>
      </c>
      <c r="CK15" s="50" t="s">
        <v>160</v>
      </c>
      <c r="CL15" s="50" t="s">
        <v>160</v>
      </c>
      <c r="CM15" s="50" t="s">
        <v>160</v>
      </c>
      <c r="CN15" s="50" t="s">
        <v>160</v>
      </c>
      <c r="CO15" s="137">
        <v>696</v>
      </c>
      <c r="CP15" s="137">
        <v>988</v>
      </c>
      <c r="CQ15" s="137">
        <v>3360</v>
      </c>
      <c r="CR15" s="177">
        <v>8001</v>
      </c>
      <c r="CS15" s="177">
        <v>585</v>
      </c>
      <c r="CT15" s="177">
        <v>1392</v>
      </c>
      <c r="CU15" s="177">
        <v>326</v>
      </c>
      <c r="CV15" s="177">
        <v>777</v>
      </c>
      <c r="CW15" s="177">
        <v>5792</v>
      </c>
      <c r="CX15" s="137">
        <v>120438</v>
      </c>
      <c r="CY15" s="177">
        <v>31216</v>
      </c>
      <c r="CZ15" s="177">
        <v>759</v>
      </c>
      <c r="DA15" s="56" t="s">
        <v>160</v>
      </c>
      <c r="DB15" s="56" t="s">
        <v>160</v>
      </c>
      <c r="DC15" s="50" t="s">
        <v>160</v>
      </c>
      <c r="DD15" s="50" t="s">
        <v>160</v>
      </c>
      <c r="DE15" s="50" t="s">
        <v>160</v>
      </c>
      <c r="DF15" s="50" t="s">
        <v>160</v>
      </c>
      <c r="DG15" s="50" t="s">
        <v>160</v>
      </c>
      <c r="DH15" s="50" t="s">
        <v>160</v>
      </c>
      <c r="DI15" s="50" t="s">
        <v>160</v>
      </c>
      <c r="DJ15" s="50" t="s">
        <v>160</v>
      </c>
      <c r="DK15" s="137">
        <v>696</v>
      </c>
      <c r="DL15" s="137">
        <v>988</v>
      </c>
      <c r="DM15" s="137">
        <v>3360</v>
      </c>
      <c r="DN15" s="177">
        <v>8001</v>
      </c>
      <c r="DO15" s="177">
        <v>585</v>
      </c>
      <c r="DP15" s="177">
        <v>1392</v>
      </c>
      <c r="DQ15" s="177">
        <v>326</v>
      </c>
      <c r="DR15" s="177">
        <v>777</v>
      </c>
      <c r="DS15" s="177">
        <v>5792</v>
      </c>
      <c r="DT15" s="137">
        <v>120438</v>
      </c>
      <c r="DU15" s="177">
        <v>31216</v>
      </c>
      <c r="DV15" s="177">
        <v>759</v>
      </c>
      <c r="DW15" s="56" t="s">
        <v>160</v>
      </c>
      <c r="DX15" s="56" t="s">
        <v>160</v>
      </c>
      <c r="DY15" s="50" t="s">
        <v>160</v>
      </c>
      <c r="DZ15" s="50" t="s">
        <v>160</v>
      </c>
      <c r="EA15" s="50" t="s">
        <v>160</v>
      </c>
      <c r="EB15" s="50" t="s">
        <v>160</v>
      </c>
      <c r="EC15" s="50" t="s">
        <v>160</v>
      </c>
      <c r="ED15" s="50" t="s">
        <v>160</v>
      </c>
      <c r="EE15" s="50" t="s">
        <v>160</v>
      </c>
      <c r="EF15" s="50" t="s">
        <v>160</v>
      </c>
      <c r="EG15" s="137">
        <v>614</v>
      </c>
      <c r="EH15" s="137">
        <v>872</v>
      </c>
      <c r="EI15" s="137">
        <v>3302</v>
      </c>
      <c r="EJ15" s="177">
        <v>7862</v>
      </c>
      <c r="EK15" s="177">
        <v>575</v>
      </c>
      <c r="EL15" s="177">
        <v>1368</v>
      </c>
      <c r="EM15" s="177">
        <v>293</v>
      </c>
      <c r="EN15" s="177">
        <v>697</v>
      </c>
      <c r="EO15" s="177">
        <v>5110</v>
      </c>
      <c r="EP15" s="137">
        <v>115919</v>
      </c>
      <c r="EQ15" s="177">
        <v>30044</v>
      </c>
      <c r="ER15" s="177">
        <v>755</v>
      </c>
      <c r="ES15" s="56" t="s">
        <v>160</v>
      </c>
      <c r="ET15" s="56" t="s">
        <v>160</v>
      </c>
      <c r="EU15" s="50" t="s">
        <v>160</v>
      </c>
      <c r="EV15" s="50" t="s">
        <v>160</v>
      </c>
      <c r="EW15" s="50" t="s">
        <v>160</v>
      </c>
      <c r="EX15" s="50" t="s">
        <v>160</v>
      </c>
      <c r="EY15" s="50" t="s">
        <v>160</v>
      </c>
      <c r="EZ15" s="50" t="s">
        <v>160</v>
      </c>
      <c r="FA15" s="50" t="s">
        <v>160</v>
      </c>
      <c r="FB15" s="50" t="s">
        <v>160</v>
      </c>
      <c r="FC15" s="137">
        <v>625</v>
      </c>
      <c r="FD15" s="137">
        <v>888</v>
      </c>
      <c r="FE15" s="137">
        <v>3337</v>
      </c>
      <c r="FF15" s="177">
        <v>7945</v>
      </c>
      <c r="FG15" s="177">
        <v>581</v>
      </c>
      <c r="FH15" s="177">
        <v>1383</v>
      </c>
      <c r="FI15" s="177">
        <v>312</v>
      </c>
      <c r="FJ15" s="177">
        <v>743</v>
      </c>
      <c r="FK15" s="177">
        <v>5203</v>
      </c>
      <c r="FL15" s="137">
        <v>123449</v>
      </c>
      <c r="FM15" s="177">
        <v>31996</v>
      </c>
      <c r="FN15" s="177">
        <v>711</v>
      </c>
      <c r="FO15" s="56" t="s">
        <v>160</v>
      </c>
      <c r="FP15" s="56" t="s">
        <v>160</v>
      </c>
      <c r="FQ15" s="50" t="s">
        <v>160</v>
      </c>
      <c r="FR15" s="50" t="s">
        <v>160</v>
      </c>
      <c r="FS15" s="50" t="s">
        <v>160</v>
      </c>
      <c r="FT15" s="50" t="s">
        <v>160</v>
      </c>
      <c r="FU15" s="50" t="s">
        <v>160</v>
      </c>
      <c r="FV15" s="50" t="s">
        <v>160</v>
      </c>
      <c r="FW15" s="50" t="s">
        <v>160</v>
      </c>
      <c r="FX15" s="50" t="s">
        <v>160</v>
      </c>
      <c r="FY15" s="137">
        <v>614</v>
      </c>
      <c r="FZ15" s="137">
        <v>872</v>
      </c>
      <c r="GA15" s="137">
        <v>3302</v>
      </c>
      <c r="GB15" s="177">
        <v>7862</v>
      </c>
      <c r="GC15" s="177">
        <v>575</v>
      </c>
      <c r="GD15" s="177">
        <v>1368</v>
      </c>
      <c r="GE15" s="177">
        <v>293</v>
      </c>
      <c r="GF15" s="177">
        <v>697</v>
      </c>
      <c r="GG15" s="177">
        <v>5110</v>
      </c>
      <c r="GH15" s="137">
        <v>115919</v>
      </c>
      <c r="GI15" s="177">
        <v>30044</v>
      </c>
      <c r="GJ15" s="177">
        <v>755</v>
      </c>
      <c r="GK15" s="56" t="s">
        <v>160</v>
      </c>
      <c r="GL15" s="56" t="s">
        <v>160</v>
      </c>
      <c r="GM15" s="50" t="s">
        <v>160</v>
      </c>
      <c r="GN15" s="50" t="s">
        <v>160</v>
      </c>
      <c r="GO15" s="50" t="s">
        <v>160</v>
      </c>
      <c r="GP15" s="50" t="s">
        <v>160</v>
      </c>
      <c r="GQ15" s="50" t="s">
        <v>160</v>
      </c>
      <c r="GR15" s="50" t="s">
        <v>160</v>
      </c>
      <c r="GS15" s="50" t="s">
        <v>160</v>
      </c>
      <c r="GT15" s="50" t="s">
        <v>160</v>
      </c>
      <c r="GU15" s="137">
        <v>668</v>
      </c>
      <c r="GV15" s="137">
        <v>948</v>
      </c>
      <c r="GW15" s="137">
        <v>3205</v>
      </c>
      <c r="GX15" s="177">
        <v>7632</v>
      </c>
      <c r="GY15" s="177">
        <v>558</v>
      </c>
      <c r="GZ15" s="177">
        <v>1328</v>
      </c>
      <c r="HA15" s="177">
        <v>307</v>
      </c>
      <c r="HB15" s="177">
        <v>731</v>
      </c>
      <c r="HC15" s="177">
        <v>5557</v>
      </c>
      <c r="HD15" s="137">
        <v>110169</v>
      </c>
      <c r="HE15" s="177">
        <v>28554</v>
      </c>
      <c r="HF15" s="177">
        <v>739</v>
      </c>
      <c r="HG15" s="56" t="s">
        <v>160</v>
      </c>
      <c r="HH15" s="56" t="s">
        <v>160</v>
      </c>
      <c r="HI15" s="50" t="s">
        <v>160</v>
      </c>
      <c r="HJ15" s="50" t="s">
        <v>160</v>
      </c>
      <c r="HK15" s="50" t="s">
        <v>160</v>
      </c>
      <c r="HL15" s="50" t="s">
        <v>160</v>
      </c>
      <c r="HM15" s="50" t="s">
        <v>160</v>
      </c>
      <c r="HN15" s="50" t="s">
        <v>160</v>
      </c>
      <c r="HO15" s="50" t="s">
        <v>160</v>
      </c>
      <c r="HP15" s="50" t="s">
        <v>160</v>
      </c>
      <c r="HQ15" s="137">
        <v>668</v>
      </c>
      <c r="HR15" s="137">
        <v>948</v>
      </c>
      <c r="HS15" s="137">
        <v>3205</v>
      </c>
      <c r="HT15" s="177">
        <v>7632</v>
      </c>
      <c r="HU15" s="177">
        <v>558</v>
      </c>
      <c r="HV15" s="177">
        <v>1328</v>
      </c>
      <c r="HW15" s="177">
        <v>307</v>
      </c>
      <c r="HX15" s="177">
        <v>731</v>
      </c>
      <c r="HY15" s="177">
        <v>5557</v>
      </c>
      <c r="HZ15" s="137">
        <v>110169</v>
      </c>
      <c r="IA15" s="177">
        <v>28554</v>
      </c>
      <c r="IB15" s="177">
        <v>739</v>
      </c>
      <c r="IC15" s="56" t="s">
        <v>160</v>
      </c>
      <c r="ID15" s="56" t="s">
        <v>160</v>
      </c>
      <c r="IE15" s="50" t="s">
        <v>160</v>
      </c>
      <c r="IF15" s="50" t="s">
        <v>160</v>
      </c>
      <c r="IG15" s="50" t="s">
        <v>160</v>
      </c>
      <c r="IH15" s="50" t="s">
        <v>160</v>
      </c>
      <c r="II15" s="50" t="s">
        <v>160</v>
      </c>
      <c r="IJ15" s="50" t="s">
        <v>160</v>
      </c>
      <c r="IK15" s="50" t="s">
        <v>160</v>
      </c>
      <c r="IL15" s="50" t="s">
        <v>160</v>
      </c>
      <c r="IM15" s="137">
        <v>696</v>
      </c>
      <c r="IN15" s="137">
        <v>988</v>
      </c>
      <c r="IO15" s="137">
        <v>3360</v>
      </c>
      <c r="IP15" s="177">
        <v>8001</v>
      </c>
      <c r="IQ15" s="177">
        <v>585</v>
      </c>
      <c r="IR15" s="177">
        <v>1392</v>
      </c>
      <c r="IS15" s="177">
        <v>326</v>
      </c>
      <c r="IT15" s="177">
        <v>777</v>
      </c>
      <c r="IU15" s="177">
        <v>5792</v>
      </c>
      <c r="IV15" s="137">
        <v>120438</v>
      </c>
      <c r="IW15" s="177">
        <v>31216</v>
      </c>
      <c r="IX15" s="177">
        <v>759</v>
      </c>
      <c r="IY15" s="56" t="s">
        <v>160</v>
      </c>
      <c r="IZ15" s="56" t="s">
        <v>160</v>
      </c>
      <c r="JA15" s="50" t="s">
        <v>160</v>
      </c>
      <c r="JB15" s="50" t="s">
        <v>160</v>
      </c>
      <c r="JC15" s="50" t="s">
        <v>160</v>
      </c>
      <c r="JD15" s="50" t="s">
        <v>160</v>
      </c>
      <c r="JE15" s="50" t="s">
        <v>160</v>
      </c>
      <c r="JF15" s="50" t="s">
        <v>160</v>
      </c>
      <c r="JG15" s="50" t="s">
        <v>160</v>
      </c>
      <c r="JH15" s="50" t="s">
        <v>160</v>
      </c>
      <c r="JI15" s="137">
        <v>696</v>
      </c>
      <c r="JJ15" s="137">
        <v>988</v>
      </c>
      <c r="JK15" s="137">
        <v>3360</v>
      </c>
      <c r="JL15" s="177">
        <v>8001</v>
      </c>
      <c r="JM15" s="177">
        <v>585</v>
      </c>
      <c r="JN15" s="177">
        <v>1392</v>
      </c>
      <c r="JO15" s="177">
        <v>326</v>
      </c>
      <c r="JP15" s="177">
        <v>777</v>
      </c>
      <c r="JQ15" s="177">
        <v>5792</v>
      </c>
      <c r="JR15" s="137">
        <v>120438</v>
      </c>
      <c r="JS15" s="177">
        <v>31216</v>
      </c>
      <c r="JT15" s="177">
        <v>759</v>
      </c>
      <c r="JU15" s="56" t="s">
        <v>160</v>
      </c>
      <c r="JV15" s="56" t="s">
        <v>160</v>
      </c>
      <c r="JW15" s="50" t="s">
        <v>160</v>
      </c>
      <c r="JX15" s="50" t="s">
        <v>160</v>
      </c>
      <c r="JY15" s="50" t="s">
        <v>160</v>
      </c>
      <c r="JZ15" s="50" t="s">
        <v>160</v>
      </c>
      <c r="KA15" s="50" t="s">
        <v>160</v>
      </c>
      <c r="KB15" s="50" t="s">
        <v>160</v>
      </c>
      <c r="KC15" s="50" t="s">
        <v>160</v>
      </c>
      <c r="KD15" s="50" t="s">
        <v>160</v>
      </c>
      <c r="KE15" s="137">
        <v>633</v>
      </c>
      <c r="KF15" s="137">
        <v>898</v>
      </c>
      <c r="KG15" s="137">
        <v>3222</v>
      </c>
      <c r="KH15" s="177">
        <v>7671</v>
      </c>
      <c r="KI15" s="177">
        <v>561</v>
      </c>
      <c r="KJ15" s="177">
        <v>1335</v>
      </c>
      <c r="KK15" s="177">
        <v>298</v>
      </c>
      <c r="KL15" s="177">
        <v>710</v>
      </c>
      <c r="KM15" s="177">
        <v>5263</v>
      </c>
      <c r="KN15" s="137">
        <v>116836</v>
      </c>
      <c r="KO15" s="177">
        <v>30282</v>
      </c>
      <c r="KP15" s="177">
        <v>704</v>
      </c>
      <c r="KQ15" s="56" t="s">
        <v>160</v>
      </c>
      <c r="KR15" s="56" t="s">
        <v>160</v>
      </c>
      <c r="KS15" s="50" t="s">
        <v>160</v>
      </c>
      <c r="KT15" s="50" t="s">
        <v>160</v>
      </c>
      <c r="KU15" s="50" t="s">
        <v>160</v>
      </c>
      <c r="KV15" s="50" t="s">
        <v>160</v>
      </c>
      <c r="KW15" s="50" t="s">
        <v>160</v>
      </c>
      <c r="KX15" s="50" t="s">
        <v>160</v>
      </c>
      <c r="KY15" s="50" t="s">
        <v>160</v>
      </c>
      <c r="KZ15" s="50" t="s">
        <v>160</v>
      </c>
    </row>
    <row r="16" spans="1:312" ht="15" customHeight="1">
      <c r="B16" s="345"/>
      <c r="C16" t="s">
        <v>70</v>
      </c>
      <c r="D16" t="s">
        <v>68</v>
      </c>
      <c r="E16" s="137">
        <v>793</v>
      </c>
      <c r="F16" s="137">
        <v>1125</v>
      </c>
      <c r="G16" s="137">
        <v>3883</v>
      </c>
      <c r="H16" s="177">
        <v>9245</v>
      </c>
      <c r="I16" s="177">
        <v>676</v>
      </c>
      <c r="J16" s="177">
        <v>1609</v>
      </c>
      <c r="K16" s="177">
        <v>378</v>
      </c>
      <c r="L16" s="177">
        <v>899</v>
      </c>
      <c r="M16" s="177">
        <v>6595</v>
      </c>
      <c r="N16" s="137">
        <v>136018</v>
      </c>
      <c r="O16" s="252">
        <v>35254</v>
      </c>
      <c r="P16" s="177">
        <v>913</v>
      </c>
      <c r="Q16" s="56" t="s">
        <v>160</v>
      </c>
      <c r="R16" s="56" t="s">
        <v>160</v>
      </c>
      <c r="S16" s="50" t="s">
        <v>160</v>
      </c>
      <c r="T16" s="50" t="s">
        <v>160</v>
      </c>
      <c r="U16" s="50" t="s">
        <v>160</v>
      </c>
      <c r="V16" s="50" t="s">
        <v>160</v>
      </c>
      <c r="W16" s="50" t="s">
        <v>160</v>
      </c>
      <c r="X16" s="50" t="s">
        <v>160</v>
      </c>
      <c r="Y16" s="56" t="s">
        <v>160</v>
      </c>
      <c r="Z16" s="50" t="s">
        <v>160</v>
      </c>
      <c r="AA16" s="137">
        <v>745</v>
      </c>
      <c r="AB16" s="137">
        <v>1057</v>
      </c>
      <c r="AC16" s="137">
        <v>4106</v>
      </c>
      <c r="AD16" s="177">
        <v>9777</v>
      </c>
      <c r="AE16" s="177">
        <v>715</v>
      </c>
      <c r="AF16" s="177">
        <v>1701</v>
      </c>
      <c r="AG16" s="177">
        <v>367</v>
      </c>
      <c r="AH16" s="177">
        <v>874</v>
      </c>
      <c r="AI16" s="177">
        <v>6194</v>
      </c>
      <c r="AJ16" s="137">
        <v>147212</v>
      </c>
      <c r="AK16" s="177">
        <v>38155</v>
      </c>
      <c r="AL16" s="177">
        <v>955</v>
      </c>
      <c r="AM16" s="56" t="s">
        <v>160</v>
      </c>
      <c r="AN16" s="56" t="s">
        <v>160</v>
      </c>
      <c r="AO16" s="50" t="s">
        <v>160</v>
      </c>
      <c r="AP16" s="50" t="s">
        <v>160</v>
      </c>
      <c r="AQ16" s="50" t="s">
        <v>160</v>
      </c>
      <c r="AR16" s="50" t="s">
        <v>160</v>
      </c>
      <c r="AS16" s="50" t="s">
        <v>160</v>
      </c>
      <c r="AT16" s="50" t="s">
        <v>160</v>
      </c>
      <c r="AU16" s="50" t="s">
        <v>160</v>
      </c>
      <c r="AV16" s="50" t="s">
        <v>160</v>
      </c>
      <c r="AW16" s="50" t="s">
        <v>160</v>
      </c>
      <c r="AX16" s="50" t="s">
        <v>160</v>
      </c>
      <c r="AY16" s="50" t="s">
        <v>160</v>
      </c>
      <c r="AZ16" s="50" t="s">
        <v>160</v>
      </c>
      <c r="BA16" s="50" t="s">
        <v>160</v>
      </c>
      <c r="BB16" s="50" t="s">
        <v>160</v>
      </c>
      <c r="BC16" s="50" t="s">
        <v>160</v>
      </c>
      <c r="BD16" s="50" t="s">
        <v>160</v>
      </c>
      <c r="BE16" s="50" t="s">
        <v>160</v>
      </c>
      <c r="BF16" s="50" t="s">
        <v>160</v>
      </c>
      <c r="BG16" s="50" t="s">
        <v>160</v>
      </c>
      <c r="BH16" s="50" t="s">
        <v>160</v>
      </c>
      <c r="BI16" s="56" t="s">
        <v>160</v>
      </c>
      <c r="BJ16" s="56" t="s">
        <v>160</v>
      </c>
      <c r="BK16" s="50" t="s">
        <v>160</v>
      </c>
      <c r="BL16" s="50" t="s">
        <v>160</v>
      </c>
      <c r="BM16" s="50" t="s">
        <v>160</v>
      </c>
      <c r="BN16" s="50" t="s">
        <v>160</v>
      </c>
      <c r="BO16" s="50" t="s">
        <v>160</v>
      </c>
      <c r="BP16" s="50" t="s">
        <v>160</v>
      </c>
      <c r="BQ16" s="50" t="s">
        <v>160</v>
      </c>
      <c r="BR16" s="50" t="s">
        <v>160</v>
      </c>
      <c r="BS16" s="137">
        <v>910</v>
      </c>
      <c r="BT16" s="137">
        <v>1291</v>
      </c>
      <c r="BU16" s="137">
        <v>4550</v>
      </c>
      <c r="BV16" s="177">
        <v>10833</v>
      </c>
      <c r="BW16" s="177">
        <v>792</v>
      </c>
      <c r="BX16" s="177">
        <v>1885</v>
      </c>
      <c r="BY16" s="177">
        <v>444</v>
      </c>
      <c r="BZ16" s="177">
        <v>1056</v>
      </c>
      <c r="CA16" s="177">
        <v>7566</v>
      </c>
      <c r="CB16" s="137">
        <v>166639</v>
      </c>
      <c r="CC16" s="177">
        <v>43190</v>
      </c>
      <c r="CD16" s="177">
        <v>1040</v>
      </c>
      <c r="CE16" s="56" t="s">
        <v>160</v>
      </c>
      <c r="CF16" s="56" t="s">
        <v>160</v>
      </c>
      <c r="CG16" s="50" t="s">
        <v>160</v>
      </c>
      <c r="CH16" s="50" t="s">
        <v>160</v>
      </c>
      <c r="CI16" s="50" t="s">
        <v>160</v>
      </c>
      <c r="CJ16" s="50" t="s">
        <v>160</v>
      </c>
      <c r="CK16" s="50" t="s">
        <v>160</v>
      </c>
      <c r="CL16" s="50" t="s">
        <v>160</v>
      </c>
      <c r="CM16" s="50" t="s">
        <v>160</v>
      </c>
      <c r="CN16" s="50" t="s">
        <v>160</v>
      </c>
      <c r="CO16" s="137">
        <v>910</v>
      </c>
      <c r="CP16" s="137">
        <v>1291</v>
      </c>
      <c r="CQ16" s="137">
        <v>4550</v>
      </c>
      <c r="CR16" s="177">
        <v>10833</v>
      </c>
      <c r="CS16" s="177">
        <v>792</v>
      </c>
      <c r="CT16" s="177">
        <v>1885</v>
      </c>
      <c r="CU16" s="177">
        <v>444</v>
      </c>
      <c r="CV16" s="177">
        <v>1056</v>
      </c>
      <c r="CW16" s="177">
        <v>7566</v>
      </c>
      <c r="CX16" s="137">
        <v>166639</v>
      </c>
      <c r="CY16" s="177">
        <v>43190</v>
      </c>
      <c r="CZ16" s="177">
        <v>1040</v>
      </c>
      <c r="DA16" s="56" t="s">
        <v>160</v>
      </c>
      <c r="DB16" s="56" t="s">
        <v>160</v>
      </c>
      <c r="DC16" s="50" t="s">
        <v>160</v>
      </c>
      <c r="DD16" s="50" t="s">
        <v>160</v>
      </c>
      <c r="DE16" s="50" t="s">
        <v>160</v>
      </c>
      <c r="DF16" s="50" t="s">
        <v>160</v>
      </c>
      <c r="DG16" s="50" t="s">
        <v>160</v>
      </c>
      <c r="DH16" s="50" t="s">
        <v>160</v>
      </c>
      <c r="DI16" s="50" t="s">
        <v>160</v>
      </c>
      <c r="DJ16" s="50" t="s">
        <v>160</v>
      </c>
      <c r="DK16" s="137">
        <v>910</v>
      </c>
      <c r="DL16" s="137">
        <v>1291</v>
      </c>
      <c r="DM16" s="137">
        <v>4550</v>
      </c>
      <c r="DN16" s="177">
        <v>10833</v>
      </c>
      <c r="DO16" s="177">
        <v>792</v>
      </c>
      <c r="DP16" s="177">
        <v>1885</v>
      </c>
      <c r="DQ16" s="177">
        <v>444</v>
      </c>
      <c r="DR16" s="177">
        <v>1056</v>
      </c>
      <c r="DS16" s="177">
        <v>7566</v>
      </c>
      <c r="DT16" s="137">
        <v>166639</v>
      </c>
      <c r="DU16" s="177">
        <v>43190</v>
      </c>
      <c r="DV16" s="177">
        <v>1040</v>
      </c>
      <c r="DW16" s="56" t="s">
        <v>160</v>
      </c>
      <c r="DX16" s="56" t="s">
        <v>160</v>
      </c>
      <c r="DY16" s="50" t="s">
        <v>160</v>
      </c>
      <c r="DZ16" s="50" t="s">
        <v>160</v>
      </c>
      <c r="EA16" s="50" t="s">
        <v>160</v>
      </c>
      <c r="EB16" s="50" t="s">
        <v>160</v>
      </c>
      <c r="EC16" s="50" t="s">
        <v>160</v>
      </c>
      <c r="ED16" s="50" t="s">
        <v>160</v>
      </c>
      <c r="EE16" s="50" t="s">
        <v>160</v>
      </c>
      <c r="EF16" s="50" t="s">
        <v>160</v>
      </c>
      <c r="EG16" s="137">
        <v>745</v>
      </c>
      <c r="EH16" s="137">
        <v>1057</v>
      </c>
      <c r="EI16" s="137">
        <v>4106</v>
      </c>
      <c r="EJ16" s="177">
        <v>9777</v>
      </c>
      <c r="EK16" s="177">
        <v>715</v>
      </c>
      <c r="EL16" s="177">
        <v>1701</v>
      </c>
      <c r="EM16" s="177">
        <v>367</v>
      </c>
      <c r="EN16" s="177">
        <v>874</v>
      </c>
      <c r="EO16" s="177">
        <v>6194</v>
      </c>
      <c r="EP16" s="137">
        <v>147212</v>
      </c>
      <c r="EQ16" s="177">
        <v>38155</v>
      </c>
      <c r="ER16" s="177">
        <v>955</v>
      </c>
      <c r="ES16" s="56" t="s">
        <v>160</v>
      </c>
      <c r="ET16" s="56" t="s">
        <v>160</v>
      </c>
      <c r="EU16" s="50" t="s">
        <v>160</v>
      </c>
      <c r="EV16" s="50" t="s">
        <v>160</v>
      </c>
      <c r="EW16" s="50" t="s">
        <v>160</v>
      </c>
      <c r="EX16" s="50" t="s">
        <v>160</v>
      </c>
      <c r="EY16" s="50" t="s">
        <v>160</v>
      </c>
      <c r="EZ16" s="50" t="s">
        <v>160</v>
      </c>
      <c r="FA16" s="50" t="s">
        <v>160</v>
      </c>
      <c r="FB16" s="50" t="s">
        <v>160</v>
      </c>
      <c r="FC16" s="137">
        <v>809</v>
      </c>
      <c r="FD16" s="137">
        <v>1148</v>
      </c>
      <c r="FE16" s="137">
        <v>4447</v>
      </c>
      <c r="FF16" s="177">
        <v>10589</v>
      </c>
      <c r="FG16" s="177">
        <v>774</v>
      </c>
      <c r="FH16" s="177">
        <v>1843</v>
      </c>
      <c r="FI16" s="177">
        <v>419</v>
      </c>
      <c r="FJ16" s="177">
        <v>997</v>
      </c>
      <c r="FK16" s="177">
        <v>6731</v>
      </c>
      <c r="FL16" s="137">
        <v>168194</v>
      </c>
      <c r="FM16" s="177">
        <v>43593</v>
      </c>
      <c r="FN16" s="177">
        <v>962</v>
      </c>
      <c r="FO16" s="56" t="s">
        <v>160</v>
      </c>
      <c r="FP16" s="56" t="s">
        <v>160</v>
      </c>
      <c r="FQ16" s="50" t="s">
        <v>160</v>
      </c>
      <c r="FR16" s="50" t="s">
        <v>160</v>
      </c>
      <c r="FS16" s="50" t="s">
        <v>160</v>
      </c>
      <c r="FT16" s="50" t="s">
        <v>160</v>
      </c>
      <c r="FU16" s="50" t="s">
        <v>160</v>
      </c>
      <c r="FV16" s="50" t="s">
        <v>160</v>
      </c>
      <c r="FW16" s="50" t="s">
        <v>160</v>
      </c>
      <c r="FX16" s="50" t="s">
        <v>160</v>
      </c>
      <c r="FY16" s="137">
        <v>745</v>
      </c>
      <c r="FZ16" s="137">
        <v>1057</v>
      </c>
      <c r="GA16" s="137">
        <v>4106</v>
      </c>
      <c r="GB16" s="177">
        <v>9777</v>
      </c>
      <c r="GC16" s="177">
        <v>715</v>
      </c>
      <c r="GD16" s="177">
        <v>1701</v>
      </c>
      <c r="GE16" s="177">
        <v>367</v>
      </c>
      <c r="GF16" s="177">
        <v>874</v>
      </c>
      <c r="GG16" s="177">
        <v>6194</v>
      </c>
      <c r="GH16" s="137">
        <v>147212</v>
      </c>
      <c r="GI16" s="177">
        <v>38155</v>
      </c>
      <c r="GJ16" s="177">
        <v>955</v>
      </c>
      <c r="GK16" s="56" t="s">
        <v>160</v>
      </c>
      <c r="GL16" s="56" t="s">
        <v>160</v>
      </c>
      <c r="GM16" s="50" t="s">
        <v>160</v>
      </c>
      <c r="GN16" s="50" t="s">
        <v>160</v>
      </c>
      <c r="GO16" s="50" t="s">
        <v>160</v>
      </c>
      <c r="GP16" s="50" t="s">
        <v>160</v>
      </c>
      <c r="GQ16" s="50" t="s">
        <v>160</v>
      </c>
      <c r="GR16" s="50" t="s">
        <v>160</v>
      </c>
      <c r="GS16" s="50" t="s">
        <v>160</v>
      </c>
      <c r="GT16" s="50" t="s">
        <v>160</v>
      </c>
      <c r="GU16" s="137">
        <v>793</v>
      </c>
      <c r="GV16" s="137">
        <v>1125</v>
      </c>
      <c r="GW16" s="137">
        <v>3883</v>
      </c>
      <c r="GX16" s="177">
        <v>9245</v>
      </c>
      <c r="GY16" s="177">
        <v>676</v>
      </c>
      <c r="GZ16" s="177">
        <v>1609</v>
      </c>
      <c r="HA16" s="177">
        <v>378</v>
      </c>
      <c r="HB16" s="177">
        <v>899</v>
      </c>
      <c r="HC16" s="177">
        <v>6595</v>
      </c>
      <c r="HD16" s="137">
        <v>136018</v>
      </c>
      <c r="HE16" s="177">
        <v>35254</v>
      </c>
      <c r="HF16" s="177">
        <v>913</v>
      </c>
      <c r="HG16" s="56" t="s">
        <v>160</v>
      </c>
      <c r="HH16" s="56" t="s">
        <v>160</v>
      </c>
      <c r="HI16" s="50" t="s">
        <v>160</v>
      </c>
      <c r="HJ16" s="50" t="s">
        <v>160</v>
      </c>
      <c r="HK16" s="50" t="s">
        <v>160</v>
      </c>
      <c r="HL16" s="50" t="s">
        <v>160</v>
      </c>
      <c r="HM16" s="50" t="s">
        <v>160</v>
      </c>
      <c r="HN16" s="50" t="s">
        <v>160</v>
      </c>
      <c r="HO16" s="50" t="s">
        <v>160</v>
      </c>
      <c r="HP16" s="50" t="s">
        <v>160</v>
      </c>
      <c r="HQ16" s="137">
        <v>793</v>
      </c>
      <c r="HR16" s="137">
        <v>1125</v>
      </c>
      <c r="HS16" s="137">
        <v>3883</v>
      </c>
      <c r="HT16" s="177">
        <v>9245</v>
      </c>
      <c r="HU16" s="177">
        <v>676</v>
      </c>
      <c r="HV16" s="177">
        <v>1609</v>
      </c>
      <c r="HW16" s="177">
        <v>378</v>
      </c>
      <c r="HX16" s="177">
        <v>899</v>
      </c>
      <c r="HY16" s="177">
        <v>6595</v>
      </c>
      <c r="HZ16" s="137">
        <v>136018</v>
      </c>
      <c r="IA16" s="177">
        <v>35254</v>
      </c>
      <c r="IB16" s="177">
        <v>913</v>
      </c>
      <c r="IC16" s="56" t="s">
        <v>160</v>
      </c>
      <c r="ID16" s="56" t="s">
        <v>160</v>
      </c>
      <c r="IE16" s="50" t="s">
        <v>160</v>
      </c>
      <c r="IF16" s="50" t="s">
        <v>160</v>
      </c>
      <c r="IG16" s="50" t="s">
        <v>160</v>
      </c>
      <c r="IH16" s="50" t="s">
        <v>160</v>
      </c>
      <c r="II16" s="50" t="s">
        <v>160</v>
      </c>
      <c r="IJ16" s="50" t="s">
        <v>160</v>
      </c>
      <c r="IK16" s="50" t="s">
        <v>160</v>
      </c>
      <c r="IL16" s="50" t="s">
        <v>160</v>
      </c>
      <c r="IM16" s="137">
        <v>910</v>
      </c>
      <c r="IN16" s="137">
        <v>1291</v>
      </c>
      <c r="IO16" s="137">
        <v>4550</v>
      </c>
      <c r="IP16" s="177">
        <v>10833</v>
      </c>
      <c r="IQ16" s="177">
        <v>792</v>
      </c>
      <c r="IR16" s="177">
        <v>1885</v>
      </c>
      <c r="IS16" s="177">
        <v>444</v>
      </c>
      <c r="IT16" s="177">
        <v>1056</v>
      </c>
      <c r="IU16" s="177">
        <v>7566</v>
      </c>
      <c r="IV16" s="137">
        <v>166639</v>
      </c>
      <c r="IW16" s="177">
        <v>43190</v>
      </c>
      <c r="IX16" s="177">
        <v>1040</v>
      </c>
      <c r="IY16" s="56" t="s">
        <v>160</v>
      </c>
      <c r="IZ16" s="56" t="s">
        <v>160</v>
      </c>
      <c r="JA16" s="50" t="s">
        <v>160</v>
      </c>
      <c r="JB16" s="50" t="s">
        <v>160</v>
      </c>
      <c r="JC16" s="50" t="s">
        <v>160</v>
      </c>
      <c r="JD16" s="50" t="s">
        <v>160</v>
      </c>
      <c r="JE16" s="50" t="s">
        <v>160</v>
      </c>
      <c r="JF16" s="50" t="s">
        <v>160</v>
      </c>
      <c r="JG16" s="50" t="s">
        <v>160</v>
      </c>
      <c r="JH16" s="50" t="s">
        <v>160</v>
      </c>
      <c r="JI16" s="137">
        <v>910</v>
      </c>
      <c r="JJ16" s="137">
        <v>1291</v>
      </c>
      <c r="JK16" s="137">
        <v>4550</v>
      </c>
      <c r="JL16" s="177">
        <v>10833</v>
      </c>
      <c r="JM16" s="177">
        <v>792</v>
      </c>
      <c r="JN16" s="177">
        <v>1885</v>
      </c>
      <c r="JO16" s="177">
        <v>444</v>
      </c>
      <c r="JP16" s="177">
        <v>1056</v>
      </c>
      <c r="JQ16" s="177">
        <v>7566</v>
      </c>
      <c r="JR16" s="137">
        <v>166639</v>
      </c>
      <c r="JS16" s="177">
        <v>43190</v>
      </c>
      <c r="JT16" s="177">
        <v>1040</v>
      </c>
      <c r="JU16" s="56" t="s">
        <v>160</v>
      </c>
      <c r="JV16" s="56" t="s">
        <v>160</v>
      </c>
      <c r="JW16" s="50" t="s">
        <v>160</v>
      </c>
      <c r="JX16" s="50" t="s">
        <v>160</v>
      </c>
      <c r="JY16" s="50" t="s">
        <v>160</v>
      </c>
      <c r="JZ16" s="50" t="s">
        <v>160</v>
      </c>
      <c r="KA16" s="50" t="s">
        <v>160</v>
      </c>
      <c r="KB16" s="50" t="s">
        <v>160</v>
      </c>
      <c r="KC16" s="50" t="s">
        <v>160</v>
      </c>
      <c r="KD16" s="50" t="s">
        <v>160</v>
      </c>
      <c r="KE16" s="137">
        <v>770</v>
      </c>
      <c r="KF16" s="137">
        <v>1092</v>
      </c>
      <c r="KG16" s="137">
        <v>3998</v>
      </c>
      <c r="KH16" s="177">
        <v>9520</v>
      </c>
      <c r="KI16" s="177">
        <v>696</v>
      </c>
      <c r="KJ16" s="177">
        <v>1657</v>
      </c>
      <c r="KK16" s="177">
        <v>381</v>
      </c>
      <c r="KL16" s="177">
        <v>908</v>
      </c>
      <c r="KM16" s="177">
        <v>6403</v>
      </c>
      <c r="KN16" s="137">
        <v>151221</v>
      </c>
      <c r="KO16" s="177">
        <v>39194</v>
      </c>
      <c r="KP16" s="177">
        <v>899</v>
      </c>
      <c r="KQ16" s="56" t="s">
        <v>160</v>
      </c>
      <c r="KR16" s="56" t="s">
        <v>160</v>
      </c>
      <c r="KS16" s="50" t="s">
        <v>160</v>
      </c>
      <c r="KT16" s="50" t="s">
        <v>160</v>
      </c>
      <c r="KU16" s="50" t="s">
        <v>160</v>
      </c>
      <c r="KV16" s="50" t="s">
        <v>160</v>
      </c>
      <c r="KW16" s="50" t="s">
        <v>160</v>
      </c>
      <c r="KX16" s="50" t="s">
        <v>160</v>
      </c>
      <c r="KY16" s="50" t="s">
        <v>160</v>
      </c>
      <c r="KZ16" s="50" t="s">
        <v>160</v>
      </c>
    </row>
    <row r="17" spans="2:312">
      <c r="B17" s="345"/>
      <c r="C17" t="s">
        <v>71</v>
      </c>
      <c r="D17" t="s">
        <v>72</v>
      </c>
      <c r="E17" s="138">
        <v>3.3E-3</v>
      </c>
      <c r="F17" s="138">
        <v>4.5999999999999999E-3</v>
      </c>
      <c r="G17" s="138">
        <v>1.18E-2</v>
      </c>
      <c r="H17" s="178">
        <v>2.81E-2</v>
      </c>
      <c r="I17" s="178">
        <v>2.0999999999999999E-3</v>
      </c>
      <c r="J17" s="178">
        <v>4.8999999999999998E-3</v>
      </c>
      <c r="K17" s="178">
        <v>3.8E-3</v>
      </c>
      <c r="L17" s="178">
        <v>8.9999999999999993E-3</v>
      </c>
      <c r="M17" s="178">
        <v>2.7099999999999999E-2</v>
      </c>
      <c r="N17" s="138">
        <v>0.3004</v>
      </c>
      <c r="O17" s="253">
        <v>7.7799999999999994E-2</v>
      </c>
      <c r="P17" s="178">
        <v>5.0000000000000001E-4</v>
      </c>
      <c r="Q17" s="133" t="s">
        <v>160</v>
      </c>
      <c r="R17" s="133" t="s">
        <v>160</v>
      </c>
      <c r="S17" s="52" t="s">
        <v>160</v>
      </c>
      <c r="T17" s="52" t="s">
        <v>160</v>
      </c>
      <c r="U17" s="52" t="s">
        <v>160</v>
      </c>
      <c r="V17" s="52" t="s">
        <v>160</v>
      </c>
      <c r="W17" s="52" t="s">
        <v>160</v>
      </c>
      <c r="X17" s="52" t="s">
        <v>160</v>
      </c>
      <c r="Y17" s="133" t="s">
        <v>160</v>
      </c>
      <c r="Z17" s="52" t="s">
        <v>160</v>
      </c>
      <c r="AA17" s="138">
        <v>3.2000000000000002E-3</v>
      </c>
      <c r="AB17" s="138">
        <v>4.4999999999999997E-3</v>
      </c>
      <c r="AC17" s="138">
        <v>1.18E-2</v>
      </c>
      <c r="AD17" s="178">
        <v>2.81E-2</v>
      </c>
      <c r="AE17" s="178">
        <v>2.0999999999999999E-3</v>
      </c>
      <c r="AF17" s="178">
        <v>4.8999999999999998E-3</v>
      </c>
      <c r="AG17" s="178">
        <v>3.5000000000000001E-3</v>
      </c>
      <c r="AH17" s="178">
        <v>8.3999999999999995E-3</v>
      </c>
      <c r="AI17" s="178">
        <v>2.64E-2</v>
      </c>
      <c r="AJ17" s="138">
        <v>0.35289999999999999</v>
      </c>
      <c r="AK17" s="178">
        <v>9.1499999999999998E-2</v>
      </c>
      <c r="AL17" s="178">
        <v>4.0000000000000002E-4</v>
      </c>
      <c r="AM17" s="133" t="s">
        <v>160</v>
      </c>
      <c r="AN17" s="133" t="s">
        <v>160</v>
      </c>
      <c r="AO17" s="52" t="s">
        <v>160</v>
      </c>
      <c r="AP17" s="52" t="s">
        <v>160</v>
      </c>
      <c r="AQ17" s="52" t="s">
        <v>160</v>
      </c>
      <c r="AR17" s="52" t="s">
        <v>160</v>
      </c>
      <c r="AS17" s="52" t="s">
        <v>160</v>
      </c>
      <c r="AT17" s="52" t="s">
        <v>160</v>
      </c>
      <c r="AU17" s="52" t="s">
        <v>160</v>
      </c>
      <c r="AV17" s="52" t="s">
        <v>160</v>
      </c>
      <c r="AW17" s="52" t="s">
        <v>160</v>
      </c>
      <c r="AX17" s="52" t="s">
        <v>160</v>
      </c>
      <c r="AY17" s="52" t="s">
        <v>160</v>
      </c>
      <c r="AZ17" s="52" t="s">
        <v>160</v>
      </c>
      <c r="BA17" s="52" t="s">
        <v>160</v>
      </c>
      <c r="BB17" s="52" t="s">
        <v>160</v>
      </c>
      <c r="BC17" s="52" t="s">
        <v>160</v>
      </c>
      <c r="BD17" s="52" t="s">
        <v>160</v>
      </c>
      <c r="BE17" s="52" t="s">
        <v>160</v>
      </c>
      <c r="BF17" s="52" t="s">
        <v>160</v>
      </c>
      <c r="BG17" s="52" t="s">
        <v>160</v>
      </c>
      <c r="BH17" s="52" t="s">
        <v>160</v>
      </c>
      <c r="BI17" s="133" t="s">
        <v>160</v>
      </c>
      <c r="BJ17" s="133" t="s">
        <v>160</v>
      </c>
      <c r="BK17" s="52" t="s">
        <v>160</v>
      </c>
      <c r="BL17" s="52" t="s">
        <v>160</v>
      </c>
      <c r="BM17" s="52" t="s">
        <v>160</v>
      </c>
      <c r="BN17" s="52" t="s">
        <v>160</v>
      </c>
      <c r="BO17" s="52" t="s">
        <v>160</v>
      </c>
      <c r="BP17" s="52" t="s">
        <v>160</v>
      </c>
      <c r="BQ17" s="52" t="s">
        <v>160</v>
      </c>
      <c r="BR17" s="52" t="s">
        <v>160</v>
      </c>
      <c r="BS17" s="138">
        <v>3.2000000000000002E-3</v>
      </c>
      <c r="BT17" s="138">
        <v>4.4999999999999997E-3</v>
      </c>
      <c r="BU17" s="138">
        <v>1.18E-2</v>
      </c>
      <c r="BV17" s="178">
        <v>2.81E-2</v>
      </c>
      <c r="BW17" s="178">
        <v>2.0999999999999999E-3</v>
      </c>
      <c r="BX17" s="178">
        <v>4.8999999999999998E-3</v>
      </c>
      <c r="BY17" s="178">
        <v>2.8999999999999998E-3</v>
      </c>
      <c r="BZ17" s="178">
        <v>6.8999999999999999E-3</v>
      </c>
      <c r="CA17" s="178">
        <v>2.6200000000000001E-2</v>
      </c>
      <c r="CB17" s="138">
        <v>0.52110000000000001</v>
      </c>
      <c r="CC17" s="178">
        <v>0.1351</v>
      </c>
      <c r="CD17" s="178">
        <v>5.9999999999999995E-4</v>
      </c>
      <c r="CE17" s="133" t="s">
        <v>160</v>
      </c>
      <c r="CF17" s="133" t="s">
        <v>160</v>
      </c>
      <c r="CG17" s="52" t="s">
        <v>160</v>
      </c>
      <c r="CH17" s="52" t="s">
        <v>160</v>
      </c>
      <c r="CI17" s="52" t="s">
        <v>160</v>
      </c>
      <c r="CJ17" s="52" t="s">
        <v>160</v>
      </c>
      <c r="CK17" s="52" t="s">
        <v>160</v>
      </c>
      <c r="CL17" s="52" t="s">
        <v>160</v>
      </c>
      <c r="CM17" s="52" t="s">
        <v>160</v>
      </c>
      <c r="CN17" s="52" t="s">
        <v>160</v>
      </c>
      <c r="CO17" s="138">
        <v>3.2000000000000002E-3</v>
      </c>
      <c r="CP17" s="138">
        <v>4.4999999999999997E-3</v>
      </c>
      <c r="CQ17" s="138">
        <v>1.18E-2</v>
      </c>
      <c r="CR17" s="178">
        <v>2.81E-2</v>
      </c>
      <c r="CS17" s="178">
        <v>2.0999999999999999E-3</v>
      </c>
      <c r="CT17" s="178">
        <v>4.8999999999999998E-3</v>
      </c>
      <c r="CU17" s="178">
        <v>2.8999999999999998E-3</v>
      </c>
      <c r="CV17" s="178">
        <v>6.8999999999999999E-3</v>
      </c>
      <c r="CW17" s="178">
        <v>2.6200000000000001E-2</v>
      </c>
      <c r="CX17" s="138">
        <v>0.52110000000000001</v>
      </c>
      <c r="CY17" s="178">
        <v>0.1351</v>
      </c>
      <c r="CZ17" s="178">
        <v>5.9999999999999995E-4</v>
      </c>
      <c r="DA17" s="133" t="s">
        <v>160</v>
      </c>
      <c r="DB17" s="133" t="s">
        <v>160</v>
      </c>
      <c r="DC17" s="52" t="s">
        <v>160</v>
      </c>
      <c r="DD17" s="52" t="s">
        <v>160</v>
      </c>
      <c r="DE17" s="52" t="s">
        <v>160</v>
      </c>
      <c r="DF17" s="52" t="s">
        <v>160</v>
      </c>
      <c r="DG17" s="52" t="s">
        <v>160</v>
      </c>
      <c r="DH17" s="52" t="s">
        <v>160</v>
      </c>
      <c r="DI17" s="52" t="s">
        <v>160</v>
      </c>
      <c r="DJ17" s="52" t="s">
        <v>160</v>
      </c>
      <c r="DK17" s="138">
        <v>3.2000000000000002E-3</v>
      </c>
      <c r="DL17" s="138">
        <v>4.4999999999999997E-3</v>
      </c>
      <c r="DM17" s="138">
        <v>1.18E-2</v>
      </c>
      <c r="DN17" s="178">
        <v>2.81E-2</v>
      </c>
      <c r="DO17" s="178">
        <v>2.0999999999999999E-3</v>
      </c>
      <c r="DP17" s="178">
        <v>4.8999999999999998E-3</v>
      </c>
      <c r="DQ17" s="178">
        <v>2.8999999999999998E-3</v>
      </c>
      <c r="DR17" s="178">
        <v>6.8999999999999999E-3</v>
      </c>
      <c r="DS17" s="178">
        <v>2.6200000000000001E-2</v>
      </c>
      <c r="DT17" s="138">
        <v>0.52110000000000001</v>
      </c>
      <c r="DU17" s="178">
        <v>0.1351</v>
      </c>
      <c r="DV17" s="178">
        <v>5.9999999999999995E-4</v>
      </c>
      <c r="DW17" s="133" t="s">
        <v>160</v>
      </c>
      <c r="DX17" s="133" t="s">
        <v>160</v>
      </c>
      <c r="DY17" s="52" t="s">
        <v>160</v>
      </c>
      <c r="DZ17" s="52" t="s">
        <v>160</v>
      </c>
      <c r="EA17" s="52" t="s">
        <v>160</v>
      </c>
      <c r="EB17" s="52" t="s">
        <v>160</v>
      </c>
      <c r="EC17" s="52" t="s">
        <v>160</v>
      </c>
      <c r="ED17" s="52" t="s">
        <v>160</v>
      </c>
      <c r="EE17" s="52" t="s">
        <v>160</v>
      </c>
      <c r="EF17" s="52" t="s">
        <v>160</v>
      </c>
      <c r="EG17" s="138">
        <v>3.2000000000000002E-3</v>
      </c>
      <c r="EH17" s="138">
        <v>4.4999999999999997E-3</v>
      </c>
      <c r="EI17" s="138">
        <v>1.18E-2</v>
      </c>
      <c r="EJ17" s="178">
        <v>2.81E-2</v>
      </c>
      <c r="EK17" s="178">
        <v>2.0999999999999999E-3</v>
      </c>
      <c r="EL17" s="178">
        <v>4.8999999999999998E-3</v>
      </c>
      <c r="EM17" s="178">
        <v>3.5000000000000001E-3</v>
      </c>
      <c r="EN17" s="178">
        <v>8.3999999999999995E-3</v>
      </c>
      <c r="EO17" s="178">
        <v>2.64E-2</v>
      </c>
      <c r="EP17" s="138">
        <v>0.35289999999999999</v>
      </c>
      <c r="EQ17" s="178">
        <v>9.1499999999999998E-2</v>
      </c>
      <c r="ER17" s="178">
        <v>4.0000000000000002E-4</v>
      </c>
      <c r="ES17" s="133" t="s">
        <v>160</v>
      </c>
      <c r="ET17" s="133" t="s">
        <v>160</v>
      </c>
      <c r="EU17" s="52" t="s">
        <v>160</v>
      </c>
      <c r="EV17" s="52" t="s">
        <v>160</v>
      </c>
      <c r="EW17" s="52" t="s">
        <v>160</v>
      </c>
      <c r="EX17" s="52" t="s">
        <v>160</v>
      </c>
      <c r="EY17" s="52" t="s">
        <v>160</v>
      </c>
      <c r="EZ17" s="52" t="s">
        <v>160</v>
      </c>
      <c r="FA17" s="52" t="s">
        <v>160</v>
      </c>
      <c r="FB17" s="52" t="s">
        <v>160</v>
      </c>
      <c r="FC17" s="138">
        <v>3.3999999999999998E-3</v>
      </c>
      <c r="FD17" s="138">
        <v>4.7999999999999996E-3</v>
      </c>
      <c r="FE17" s="138">
        <v>1.18E-2</v>
      </c>
      <c r="FF17" s="178">
        <v>2.81E-2</v>
      </c>
      <c r="FG17" s="178">
        <v>2.0999999999999999E-3</v>
      </c>
      <c r="FH17" s="178">
        <v>4.8999999999999998E-3</v>
      </c>
      <c r="FI17" s="178">
        <v>2.3E-3</v>
      </c>
      <c r="FJ17" s="178">
        <v>5.4999999999999997E-3</v>
      </c>
      <c r="FK17" s="178">
        <v>2.7900000000000001E-2</v>
      </c>
      <c r="FL17" s="138">
        <v>0.65329999999999999</v>
      </c>
      <c r="FM17" s="178">
        <v>0.16930000000000001</v>
      </c>
      <c r="FN17" s="178">
        <v>1.1000000000000001E-3</v>
      </c>
      <c r="FO17" s="133" t="s">
        <v>160</v>
      </c>
      <c r="FP17" s="133" t="s">
        <v>160</v>
      </c>
      <c r="FQ17" s="52" t="s">
        <v>160</v>
      </c>
      <c r="FR17" s="52" t="s">
        <v>160</v>
      </c>
      <c r="FS17" s="52" t="s">
        <v>160</v>
      </c>
      <c r="FT17" s="52" t="s">
        <v>160</v>
      </c>
      <c r="FU17" s="52" t="s">
        <v>160</v>
      </c>
      <c r="FV17" s="52" t="s">
        <v>160</v>
      </c>
      <c r="FW17" s="52" t="s">
        <v>160</v>
      </c>
      <c r="FX17" s="52" t="s">
        <v>160</v>
      </c>
      <c r="FY17" s="138">
        <v>3.2000000000000002E-3</v>
      </c>
      <c r="FZ17" s="138">
        <v>4.4999999999999997E-3</v>
      </c>
      <c r="GA17" s="138">
        <v>1.18E-2</v>
      </c>
      <c r="GB17" s="178">
        <v>2.81E-2</v>
      </c>
      <c r="GC17" s="178">
        <v>2.0999999999999999E-3</v>
      </c>
      <c r="GD17" s="178">
        <v>4.8999999999999998E-3</v>
      </c>
      <c r="GE17" s="178">
        <v>3.5000000000000001E-3</v>
      </c>
      <c r="GF17" s="178">
        <v>8.3999999999999995E-3</v>
      </c>
      <c r="GG17" s="178">
        <v>2.64E-2</v>
      </c>
      <c r="GH17" s="138">
        <v>0.35289999999999999</v>
      </c>
      <c r="GI17" s="178">
        <v>9.1499999999999998E-2</v>
      </c>
      <c r="GJ17" s="178">
        <v>4.0000000000000002E-4</v>
      </c>
      <c r="GK17" s="133" t="s">
        <v>160</v>
      </c>
      <c r="GL17" s="133" t="s">
        <v>160</v>
      </c>
      <c r="GM17" s="52" t="s">
        <v>160</v>
      </c>
      <c r="GN17" s="52" t="s">
        <v>160</v>
      </c>
      <c r="GO17" s="52" t="s">
        <v>160</v>
      </c>
      <c r="GP17" s="52" t="s">
        <v>160</v>
      </c>
      <c r="GQ17" s="52" t="s">
        <v>160</v>
      </c>
      <c r="GR17" s="52" t="s">
        <v>160</v>
      </c>
      <c r="GS17" s="52" t="s">
        <v>160</v>
      </c>
      <c r="GT17" s="52" t="s">
        <v>160</v>
      </c>
      <c r="GU17" s="138">
        <v>3.3E-3</v>
      </c>
      <c r="GV17" s="138">
        <v>4.5999999999999999E-3</v>
      </c>
      <c r="GW17" s="138">
        <v>1.18E-2</v>
      </c>
      <c r="GX17" s="178">
        <v>2.81E-2</v>
      </c>
      <c r="GY17" s="178">
        <v>2.0999999999999999E-3</v>
      </c>
      <c r="GZ17" s="178">
        <v>4.8999999999999998E-3</v>
      </c>
      <c r="HA17" s="178">
        <v>3.8E-3</v>
      </c>
      <c r="HB17" s="178">
        <v>8.9999999999999993E-3</v>
      </c>
      <c r="HC17" s="178">
        <v>2.7099999999999999E-2</v>
      </c>
      <c r="HD17" s="138">
        <v>0.3004</v>
      </c>
      <c r="HE17" s="178">
        <v>7.7799999999999994E-2</v>
      </c>
      <c r="HF17" s="178">
        <v>5.0000000000000001E-4</v>
      </c>
      <c r="HG17" s="133" t="s">
        <v>160</v>
      </c>
      <c r="HH17" s="133" t="s">
        <v>160</v>
      </c>
      <c r="HI17" s="52" t="s">
        <v>160</v>
      </c>
      <c r="HJ17" s="52" t="s">
        <v>160</v>
      </c>
      <c r="HK17" s="52" t="s">
        <v>160</v>
      </c>
      <c r="HL17" s="52" t="s">
        <v>160</v>
      </c>
      <c r="HM17" s="52" t="s">
        <v>160</v>
      </c>
      <c r="HN17" s="52" t="s">
        <v>160</v>
      </c>
      <c r="HO17" s="52" t="s">
        <v>160</v>
      </c>
      <c r="HP17" s="52" t="s">
        <v>160</v>
      </c>
      <c r="HQ17" s="138">
        <v>3.3E-3</v>
      </c>
      <c r="HR17" s="138">
        <v>4.5999999999999999E-3</v>
      </c>
      <c r="HS17" s="138">
        <v>1.18E-2</v>
      </c>
      <c r="HT17" s="178">
        <v>2.81E-2</v>
      </c>
      <c r="HU17" s="178">
        <v>2.0999999999999999E-3</v>
      </c>
      <c r="HV17" s="178">
        <v>4.8999999999999998E-3</v>
      </c>
      <c r="HW17" s="178">
        <v>3.8E-3</v>
      </c>
      <c r="HX17" s="178">
        <v>8.9999999999999993E-3</v>
      </c>
      <c r="HY17" s="178">
        <v>2.7099999999999999E-2</v>
      </c>
      <c r="HZ17" s="138">
        <v>0.3004</v>
      </c>
      <c r="IA17" s="178">
        <v>7.7799999999999994E-2</v>
      </c>
      <c r="IB17" s="178">
        <v>5.0000000000000001E-4</v>
      </c>
      <c r="IC17" s="133" t="s">
        <v>160</v>
      </c>
      <c r="ID17" s="133" t="s">
        <v>160</v>
      </c>
      <c r="IE17" s="52" t="s">
        <v>160</v>
      </c>
      <c r="IF17" s="52" t="s">
        <v>160</v>
      </c>
      <c r="IG17" s="52" t="s">
        <v>160</v>
      </c>
      <c r="IH17" s="52" t="s">
        <v>160</v>
      </c>
      <c r="II17" s="52" t="s">
        <v>160</v>
      </c>
      <c r="IJ17" s="52" t="s">
        <v>160</v>
      </c>
      <c r="IK17" s="52" t="s">
        <v>160</v>
      </c>
      <c r="IL17" s="52" t="s">
        <v>160</v>
      </c>
      <c r="IM17" s="138">
        <v>3.2000000000000002E-3</v>
      </c>
      <c r="IN17" s="138">
        <v>4.4999999999999997E-3</v>
      </c>
      <c r="IO17" s="138">
        <v>1.18E-2</v>
      </c>
      <c r="IP17" s="178">
        <v>2.81E-2</v>
      </c>
      <c r="IQ17" s="178">
        <v>2.0999999999999999E-3</v>
      </c>
      <c r="IR17" s="178">
        <v>4.8999999999999998E-3</v>
      </c>
      <c r="IS17" s="178">
        <v>2.8999999999999998E-3</v>
      </c>
      <c r="IT17" s="178">
        <v>6.8999999999999999E-3</v>
      </c>
      <c r="IU17" s="178">
        <v>2.6200000000000001E-2</v>
      </c>
      <c r="IV17" s="138">
        <v>0.52110000000000001</v>
      </c>
      <c r="IW17" s="178">
        <v>0.1351</v>
      </c>
      <c r="IX17" s="178">
        <v>5.9999999999999995E-4</v>
      </c>
      <c r="IY17" s="133" t="s">
        <v>160</v>
      </c>
      <c r="IZ17" s="133" t="s">
        <v>160</v>
      </c>
      <c r="JA17" s="52" t="s">
        <v>160</v>
      </c>
      <c r="JB17" s="52" t="s">
        <v>160</v>
      </c>
      <c r="JC17" s="52" t="s">
        <v>160</v>
      </c>
      <c r="JD17" s="52" t="s">
        <v>160</v>
      </c>
      <c r="JE17" s="52" t="s">
        <v>160</v>
      </c>
      <c r="JF17" s="52" t="s">
        <v>160</v>
      </c>
      <c r="JG17" s="52" t="s">
        <v>160</v>
      </c>
      <c r="JH17" s="52" t="s">
        <v>160</v>
      </c>
      <c r="JI17" s="138">
        <v>3.2000000000000002E-3</v>
      </c>
      <c r="JJ17" s="138">
        <v>4.4999999999999997E-3</v>
      </c>
      <c r="JK17" s="138">
        <v>1.18E-2</v>
      </c>
      <c r="JL17" s="178">
        <v>2.81E-2</v>
      </c>
      <c r="JM17" s="178">
        <v>2.0999999999999999E-3</v>
      </c>
      <c r="JN17" s="178">
        <v>4.8999999999999998E-3</v>
      </c>
      <c r="JO17" s="178">
        <v>2.8999999999999998E-3</v>
      </c>
      <c r="JP17" s="178">
        <v>6.8999999999999999E-3</v>
      </c>
      <c r="JQ17" s="178">
        <v>2.6200000000000001E-2</v>
      </c>
      <c r="JR17" s="138">
        <v>0.52110000000000001</v>
      </c>
      <c r="JS17" s="178">
        <v>0.1351</v>
      </c>
      <c r="JT17" s="178">
        <v>5.9999999999999995E-4</v>
      </c>
      <c r="JU17" s="133" t="s">
        <v>160</v>
      </c>
      <c r="JV17" s="133" t="s">
        <v>160</v>
      </c>
      <c r="JW17" s="52" t="s">
        <v>160</v>
      </c>
      <c r="JX17" s="52" t="s">
        <v>160</v>
      </c>
      <c r="JY17" s="52" t="s">
        <v>160</v>
      </c>
      <c r="JZ17" s="52" t="s">
        <v>160</v>
      </c>
      <c r="KA17" s="52" t="s">
        <v>160</v>
      </c>
      <c r="KB17" s="52" t="s">
        <v>160</v>
      </c>
      <c r="KC17" s="52" t="s">
        <v>160</v>
      </c>
      <c r="KD17" s="52" t="s">
        <v>160</v>
      </c>
      <c r="KE17" s="138">
        <v>3.2000000000000002E-3</v>
      </c>
      <c r="KF17" s="138">
        <v>4.4999999999999997E-3</v>
      </c>
      <c r="KG17" s="138">
        <v>1.18E-2</v>
      </c>
      <c r="KH17" s="178">
        <v>2.81E-2</v>
      </c>
      <c r="KI17" s="178">
        <v>2.0999999999999999E-3</v>
      </c>
      <c r="KJ17" s="178">
        <v>4.8999999999999998E-3</v>
      </c>
      <c r="KK17" s="178">
        <v>3.2000000000000002E-3</v>
      </c>
      <c r="KL17" s="178">
        <v>7.7000000000000002E-3</v>
      </c>
      <c r="KM17" s="178">
        <v>2.6499999999999999E-2</v>
      </c>
      <c r="KN17" s="138">
        <v>0.45800000000000002</v>
      </c>
      <c r="KO17" s="178">
        <v>0.1187</v>
      </c>
      <c r="KP17" s="178">
        <v>5.9999999999999995E-4</v>
      </c>
      <c r="KQ17" s="133" t="s">
        <v>160</v>
      </c>
      <c r="KR17" s="133" t="s">
        <v>160</v>
      </c>
      <c r="KS17" s="52" t="s">
        <v>160</v>
      </c>
      <c r="KT17" s="52" t="s">
        <v>160</v>
      </c>
      <c r="KU17" s="52" t="s">
        <v>160</v>
      </c>
      <c r="KV17" s="52" t="s">
        <v>160</v>
      </c>
      <c r="KW17" s="52" t="s">
        <v>160</v>
      </c>
      <c r="KX17" s="52" t="s">
        <v>160</v>
      </c>
      <c r="KY17" s="52" t="s">
        <v>160</v>
      </c>
      <c r="KZ17" s="52" t="s">
        <v>160</v>
      </c>
    </row>
    <row r="18" spans="2:312">
      <c r="B18" s="345"/>
      <c r="C18" t="s">
        <v>73</v>
      </c>
      <c r="D18" t="s">
        <v>72</v>
      </c>
      <c r="E18" s="138">
        <v>5.4999999999999997E-3</v>
      </c>
      <c r="F18" s="138">
        <v>7.7999999999999996E-3</v>
      </c>
      <c r="G18" s="138">
        <v>1.9900000000000001E-2</v>
      </c>
      <c r="H18" s="178">
        <v>4.7300000000000002E-2</v>
      </c>
      <c r="I18" s="178">
        <v>3.5000000000000001E-3</v>
      </c>
      <c r="J18" s="178">
        <v>8.2000000000000007E-3</v>
      </c>
      <c r="K18" s="178">
        <v>5.0000000000000001E-3</v>
      </c>
      <c r="L18" s="178">
        <v>1.18E-2</v>
      </c>
      <c r="M18" s="178">
        <v>4.5900000000000003E-2</v>
      </c>
      <c r="N18" s="138">
        <v>0.71150000000000002</v>
      </c>
      <c r="O18" s="253">
        <v>0.18440000000000001</v>
      </c>
      <c r="P18" s="178">
        <v>3.8999999999999998E-3</v>
      </c>
      <c r="Q18" s="133" t="s">
        <v>160</v>
      </c>
      <c r="R18" s="133" t="s">
        <v>160</v>
      </c>
      <c r="S18" s="52" t="s">
        <v>160</v>
      </c>
      <c r="T18" s="52" t="s">
        <v>160</v>
      </c>
      <c r="U18" s="52" t="s">
        <v>160</v>
      </c>
      <c r="V18" s="52" t="s">
        <v>160</v>
      </c>
      <c r="W18" s="52" t="s">
        <v>160</v>
      </c>
      <c r="X18" s="52" t="s">
        <v>160</v>
      </c>
      <c r="Y18" s="133" t="s">
        <v>160</v>
      </c>
      <c r="Z18" s="52" t="s">
        <v>160</v>
      </c>
      <c r="AA18" s="138">
        <v>5.0000000000000001E-3</v>
      </c>
      <c r="AB18" s="138">
        <v>7.1000000000000004E-3</v>
      </c>
      <c r="AC18" s="138">
        <v>2.07E-2</v>
      </c>
      <c r="AD18" s="178">
        <v>4.9200000000000001E-2</v>
      </c>
      <c r="AE18" s="178">
        <v>3.5999999999999999E-3</v>
      </c>
      <c r="AF18" s="178">
        <v>8.6E-3</v>
      </c>
      <c r="AG18" s="178">
        <v>4.5999999999999999E-3</v>
      </c>
      <c r="AH18" s="178">
        <v>1.0999999999999999E-2</v>
      </c>
      <c r="AI18" s="178">
        <v>4.1799999999999997E-2</v>
      </c>
      <c r="AJ18" s="138">
        <v>0.84250000000000003</v>
      </c>
      <c r="AK18" s="178">
        <v>0.21840000000000001</v>
      </c>
      <c r="AL18" s="178">
        <v>4.1000000000000003E-3</v>
      </c>
      <c r="AM18" s="133" t="s">
        <v>160</v>
      </c>
      <c r="AN18" s="133" t="s">
        <v>160</v>
      </c>
      <c r="AO18" s="52" t="s">
        <v>160</v>
      </c>
      <c r="AP18" s="52" t="s">
        <v>160</v>
      </c>
      <c r="AQ18" s="52" t="s">
        <v>160</v>
      </c>
      <c r="AR18" s="52" t="s">
        <v>160</v>
      </c>
      <c r="AS18" s="52" t="s">
        <v>160</v>
      </c>
      <c r="AT18" s="52" t="s">
        <v>160</v>
      </c>
      <c r="AU18" s="52" t="s">
        <v>160</v>
      </c>
      <c r="AV18" s="52" t="s">
        <v>160</v>
      </c>
      <c r="AW18" s="52" t="s">
        <v>160</v>
      </c>
      <c r="AX18" s="52" t="s">
        <v>160</v>
      </c>
      <c r="AY18" s="52" t="s">
        <v>160</v>
      </c>
      <c r="AZ18" s="52" t="s">
        <v>160</v>
      </c>
      <c r="BA18" s="52" t="s">
        <v>160</v>
      </c>
      <c r="BB18" s="52" t="s">
        <v>160</v>
      </c>
      <c r="BC18" s="52" t="s">
        <v>160</v>
      </c>
      <c r="BD18" s="52" t="s">
        <v>160</v>
      </c>
      <c r="BE18" s="52" t="s">
        <v>160</v>
      </c>
      <c r="BF18" s="52" t="s">
        <v>160</v>
      </c>
      <c r="BG18" s="52" t="s">
        <v>160</v>
      </c>
      <c r="BH18" s="52" t="s">
        <v>160</v>
      </c>
      <c r="BI18" s="133" t="s">
        <v>160</v>
      </c>
      <c r="BJ18" s="133" t="s">
        <v>160</v>
      </c>
      <c r="BK18" s="52" t="s">
        <v>160</v>
      </c>
      <c r="BL18" s="52" t="s">
        <v>160</v>
      </c>
      <c r="BM18" s="52" t="s">
        <v>160</v>
      </c>
      <c r="BN18" s="52" t="s">
        <v>160</v>
      </c>
      <c r="BO18" s="52" t="s">
        <v>160</v>
      </c>
      <c r="BP18" s="52" t="s">
        <v>160</v>
      </c>
      <c r="BQ18" s="52" t="s">
        <v>160</v>
      </c>
      <c r="BR18" s="52" t="s">
        <v>160</v>
      </c>
      <c r="BS18" s="138">
        <v>5.5999999999999999E-3</v>
      </c>
      <c r="BT18" s="138">
        <v>8.0000000000000002E-3</v>
      </c>
      <c r="BU18" s="138">
        <v>2.1000000000000001E-2</v>
      </c>
      <c r="BV18" s="178">
        <v>0.05</v>
      </c>
      <c r="BW18" s="178">
        <v>3.7000000000000002E-3</v>
      </c>
      <c r="BX18" s="178">
        <v>8.6999999999999994E-3</v>
      </c>
      <c r="BY18" s="178">
        <v>4.3E-3</v>
      </c>
      <c r="BZ18" s="178">
        <v>1.0200000000000001E-2</v>
      </c>
      <c r="CA18" s="178">
        <v>4.7E-2</v>
      </c>
      <c r="CB18" s="138">
        <v>1.0313000000000001</v>
      </c>
      <c r="CC18" s="178">
        <v>0.26729999999999998</v>
      </c>
      <c r="CD18" s="178">
        <v>4.1000000000000003E-3</v>
      </c>
      <c r="CE18" s="133" t="s">
        <v>160</v>
      </c>
      <c r="CF18" s="133" t="s">
        <v>160</v>
      </c>
      <c r="CG18" s="52" t="s">
        <v>160</v>
      </c>
      <c r="CH18" s="52" t="s">
        <v>160</v>
      </c>
      <c r="CI18" s="52" t="s">
        <v>160</v>
      </c>
      <c r="CJ18" s="52" t="s">
        <v>160</v>
      </c>
      <c r="CK18" s="52" t="s">
        <v>160</v>
      </c>
      <c r="CL18" s="52" t="s">
        <v>160</v>
      </c>
      <c r="CM18" s="52" t="s">
        <v>160</v>
      </c>
      <c r="CN18" s="52" t="s">
        <v>160</v>
      </c>
      <c r="CO18" s="138">
        <v>5.5999999999999999E-3</v>
      </c>
      <c r="CP18" s="138">
        <v>8.0000000000000002E-3</v>
      </c>
      <c r="CQ18" s="138">
        <v>2.1000000000000001E-2</v>
      </c>
      <c r="CR18" s="178">
        <v>0.05</v>
      </c>
      <c r="CS18" s="178">
        <v>3.7000000000000002E-3</v>
      </c>
      <c r="CT18" s="178">
        <v>8.6999999999999994E-3</v>
      </c>
      <c r="CU18" s="178">
        <v>4.3E-3</v>
      </c>
      <c r="CV18" s="178">
        <v>1.0200000000000001E-2</v>
      </c>
      <c r="CW18" s="178">
        <v>4.7E-2</v>
      </c>
      <c r="CX18" s="138">
        <v>1.0313000000000001</v>
      </c>
      <c r="CY18" s="178">
        <v>0.26729999999999998</v>
      </c>
      <c r="CZ18" s="178">
        <v>4.1000000000000003E-3</v>
      </c>
      <c r="DA18" s="133" t="s">
        <v>160</v>
      </c>
      <c r="DB18" s="133" t="s">
        <v>160</v>
      </c>
      <c r="DC18" s="52" t="s">
        <v>160</v>
      </c>
      <c r="DD18" s="52" t="s">
        <v>160</v>
      </c>
      <c r="DE18" s="52" t="s">
        <v>160</v>
      </c>
      <c r="DF18" s="52" t="s">
        <v>160</v>
      </c>
      <c r="DG18" s="52" t="s">
        <v>160</v>
      </c>
      <c r="DH18" s="52" t="s">
        <v>160</v>
      </c>
      <c r="DI18" s="52" t="s">
        <v>160</v>
      </c>
      <c r="DJ18" s="52" t="s">
        <v>160</v>
      </c>
      <c r="DK18" s="138">
        <v>5.5999999999999999E-3</v>
      </c>
      <c r="DL18" s="138">
        <v>8.0000000000000002E-3</v>
      </c>
      <c r="DM18" s="138">
        <v>2.1000000000000001E-2</v>
      </c>
      <c r="DN18" s="178">
        <v>0.05</v>
      </c>
      <c r="DO18" s="178">
        <v>3.7000000000000002E-3</v>
      </c>
      <c r="DP18" s="178">
        <v>8.6999999999999994E-3</v>
      </c>
      <c r="DQ18" s="178">
        <v>4.3E-3</v>
      </c>
      <c r="DR18" s="178">
        <v>1.0200000000000001E-2</v>
      </c>
      <c r="DS18" s="178">
        <v>4.7E-2</v>
      </c>
      <c r="DT18" s="138">
        <v>1.0313000000000001</v>
      </c>
      <c r="DU18" s="178">
        <v>0.26729999999999998</v>
      </c>
      <c r="DV18" s="178">
        <v>4.1000000000000003E-3</v>
      </c>
      <c r="DW18" s="133" t="s">
        <v>160</v>
      </c>
      <c r="DX18" s="133" t="s">
        <v>160</v>
      </c>
      <c r="DY18" s="52" t="s">
        <v>160</v>
      </c>
      <c r="DZ18" s="52" t="s">
        <v>160</v>
      </c>
      <c r="EA18" s="52" t="s">
        <v>160</v>
      </c>
      <c r="EB18" s="52" t="s">
        <v>160</v>
      </c>
      <c r="EC18" s="52" t="s">
        <v>160</v>
      </c>
      <c r="ED18" s="52" t="s">
        <v>160</v>
      </c>
      <c r="EE18" s="52" t="s">
        <v>160</v>
      </c>
      <c r="EF18" s="52" t="s">
        <v>160</v>
      </c>
      <c r="EG18" s="138">
        <v>5.0000000000000001E-3</v>
      </c>
      <c r="EH18" s="138">
        <v>7.1000000000000004E-3</v>
      </c>
      <c r="EI18" s="138">
        <v>2.07E-2</v>
      </c>
      <c r="EJ18" s="178">
        <v>4.9200000000000001E-2</v>
      </c>
      <c r="EK18" s="178">
        <v>3.5999999999999999E-3</v>
      </c>
      <c r="EL18" s="178">
        <v>8.6E-3</v>
      </c>
      <c r="EM18" s="178">
        <v>4.5999999999999999E-3</v>
      </c>
      <c r="EN18" s="178">
        <v>1.0999999999999999E-2</v>
      </c>
      <c r="EO18" s="178">
        <v>4.1799999999999997E-2</v>
      </c>
      <c r="EP18" s="138">
        <v>0.84250000000000003</v>
      </c>
      <c r="EQ18" s="178">
        <v>0.21840000000000001</v>
      </c>
      <c r="ER18" s="178">
        <v>4.1000000000000003E-3</v>
      </c>
      <c r="ES18" s="133" t="s">
        <v>160</v>
      </c>
      <c r="ET18" s="133" t="s">
        <v>160</v>
      </c>
      <c r="EU18" s="52" t="s">
        <v>160</v>
      </c>
      <c r="EV18" s="52" t="s">
        <v>160</v>
      </c>
      <c r="EW18" s="52" t="s">
        <v>160</v>
      </c>
      <c r="EX18" s="52" t="s">
        <v>160</v>
      </c>
      <c r="EY18" s="52" t="s">
        <v>160</v>
      </c>
      <c r="EZ18" s="52" t="s">
        <v>160</v>
      </c>
      <c r="FA18" s="52" t="s">
        <v>160</v>
      </c>
      <c r="FB18" s="52" t="s">
        <v>160</v>
      </c>
      <c r="FC18" s="138">
        <v>5.1999999999999998E-3</v>
      </c>
      <c r="FD18" s="138">
        <v>7.4000000000000003E-3</v>
      </c>
      <c r="FE18" s="138">
        <v>2.06E-2</v>
      </c>
      <c r="FF18" s="178">
        <v>4.9000000000000002E-2</v>
      </c>
      <c r="FG18" s="178">
        <v>3.5999999999999999E-3</v>
      </c>
      <c r="FH18" s="178">
        <v>8.5000000000000006E-3</v>
      </c>
      <c r="FI18" s="178">
        <v>3.5000000000000001E-3</v>
      </c>
      <c r="FJ18" s="178">
        <v>8.3000000000000001E-3</v>
      </c>
      <c r="FK18" s="178">
        <v>4.3299999999999998E-2</v>
      </c>
      <c r="FL18" s="138">
        <v>1.1598999999999999</v>
      </c>
      <c r="FM18" s="178">
        <v>0.30059999999999998</v>
      </c>
      <c r="FN18" s="178">
        <v>4.1000000000000003E-3</v>
      </c>
      <c r="FO18" s="133" t="s">
        <v>160</v>
      </c>
      <c r="FP18" s="133" t="s">
        <v>160</v>
      </c>
      <c r="FQ18" s="52" t="s">
        <v>160</v>
      </c>
      <c r="FR18" s="52" t="s">
        <v>160</v>
      </c>
      <c r="FS18" s="52" t="s">
        <v>160</v>
      </c>
      <c r="FT18" s="52" t="s">
        <v>160</v>
      </c>
      <c r="FU18" s="52" t="s">
        <v>160</v>
      </c>
      <c r="FV18" s="52" t="s">
        <v>160</v>
      </c>
      <c r="FW18" s="52" t="s">
        <v>160</v>
      </c>
      <c r="FX18" s="52" t="s">
        <v>160</v>
      </c>
      <c r="FY18" s="138">
        <v>5.0000000000000001E-3</v>
      </c>
      <c r="FZ18" s="138">
        <v>7.1000000000000004E-3</v>
      </c>
      <c r="GA18" s="138">
        <v>2.07E-2</v>
      </c>
      <c r="GB18" s="178">
        <v>4.9200000000000001E-2</v>
      </c>
      <c r="GC18" s="178">
        <v>3.5999999999999999E-3</v>
      </c>
      <c r="GD18" s="178">
        <v>8.6E-3</v>
      </c>
      <c r="GE18" s="178">
        <v>4.5999999999999999E-3</v>
      </c>
      <c r="GF18" s="178">
        <v>1.0999999999999999E-2</v>
      </c>
      <c r="GG18" s="178">
        <v>4.1799999999999997E-2</v>
      </c>
      <c r="GH18" s="138">
        <v>0.84250000000000003</v>
      </c>
      <c r="GI18" s="178">
        <v>0.21840000000000001</v>
      </c>
      <c r="GJ18" s="178">
        <v>4.1000000000000003E-3</v>
      </c>
      <c r="GK18" s="133" t="s">
        <v>160</v>
      </c>
      <c r="GL18" s="133" t="s">
        <v>160</v>
      </c>
      <c r="GM18" s="52" t="s">
        <v>160</v>
      </c>
      <c r="GN18" s="52" t="s">
        <v>160</v>
      </c>
      <c r="GO18" s="52" t="s">
        <v>160</v>
      </c>
      <c r="GP18" s="52" t="s">
        <v>160</v>
      </c>
      <c r="GQ18" s="52" t="s">
        <v>160</v>
      </c>
      <c r="GR18" s="52" t="s">
        <v>160</v>
      </c>
      <c r="GS18" s="52" t="s">
        <v>160</v>
      </c>
      <c r="GT18" s="52" t="s">
        <v>160</v>
      </c>
      <c r="GU18" s="138">
        <v>5.4999999999999997E-3</v>
      </c>
      <c r="GV18" s="138">
        <v>7.7999999999999996E-3</v>
      </c>
      <c r="GW18" s="138">
        <v>1.9900000000000001E-2</v>
      </c>
      <c r="GX18" s="178">
        <v>4.7300000000000002E-2</v>
      </c>
      <c r="GY18" s="178">
        <v>3.5000000000000001E-3</v>
      </c>
      <c r="GZ18" s="178">
        <v>8.2000000000000007E-3</v>
      </c>
      <c r="HA18" s="178">
        <v>5.0000000000000001E-3</v>
      </c>
      <c r="HB18" s="178">
        <v>1.18E-2</v>
      </c>
      <c r="HC18" s="178">
        <v>4.5900000000000003E-2</v>
      </c>
      <c r="HD18" s="138">
        <v>0.71150000000000002</v>
      </c>
      <c r="HE18" s="178">
        <v>0.18440000000000001</v>
      </c>
      <c r="HF18" s="178">
        <v>3.8999999999999998E-3</v>
      </c>
      <c r="HG18" s="133" t="s">
        <v>160</v>
      </c>
      <c r="HH18" s="133" t="s">
        <v>160</v>
      </c>
      <c r="HI18" s="52" t="s">
        <v>160</v>
      </c>
      <c r="HJ18" s="52" t="s">
        <v>160</v>
      </c>
      <c r="HK18" s="52" t="s">
        <v>160</v>
      </c>
      <c r="HL18" s="52" t="s">
        <v>160</v>
      </c>
      <c r="HM18" s="52" t="s">
        <v>160</v>
      </c>
      <c r="HN18" s="52" t="s">
        <v>160</v>
      </c>
      <c r="HO18" s="52" t="s">
        <v>160</v>
      </c>
      <c r="HP18" s="52" t="s">
        <v>160</v>
      </c>
      <c r="HQ18" s="138">
        <v>5.4999999999999997E-3</v>
      </c>
      <c r="HR18" s="138">
        <v>7.7999999999999996E-3</v>
      </c>
      <c r="HS18" s="138">
        <v>1.9900000000000001E-2</v>
      </c>
      <c r="HT18" s="178">
        <v>4.7300000000000002E-2</v>
      </c>
      <c r="HU18" s="178">
        <v>3.5000000000000001E-3</v>
      </c>
      <c r="HV18" s="178">
        <v>8.2000000000000007E-3</v>
      </c>
      <c r="HW18" s="178">
        <v>5.0000000000000001E-3</v>
      </c>
      <c r="HX18" s="178">
        <v>1.18E-2</v>
      </c>
      <c r="HY18" s="178">
        <v>4.5900000000000003E-2</v>
      </c>
      <c r="HZ18" s="138">
        <v>0.71150000000000002</v>
      </c>
      <c r="IA18" s="178">
        <v>0.18440000000000001</v>
      </c>
      <c r="IB18" s="178">
        <v>3.8999999999999998E-3</v>
      </c>
      <c r="IC18" s="133" t="s">
        <v>160</v>
      </c>
      <c r="ID18" s="133" t="s">
        <v>160</v>
      </c>
      <c r="IE18" s="52" t="s">
        <v>160</v>
      </c>
      <c r="IF18" s="52" t="s">
        <v>160</v>
      </c>
      <c r="IG18" s="52" t="s">
        <v>160</v>
      </c>
      <c r="IH18" s="52" t="s">
        <v>160</v>
      </c>
      <c r="II18" s="52" t="s">
        <v>160</v>
      </c>
      <c r="IJ18" s="52" t="s">
        <v>160</v>
      </c>
      <c r="IK18" s="52" t="s">
        <v>160</v>
      </c>
      <c r="IL18" s="52" t="s">
        <v>160</v>
      </c>
      <c r="IM18" s="138">
        <v>5.5999999999999999E-3</v>
      </c>
      <c r="IN18" s="138">
        <v>8.0000000000000002E-3</v>
      </c>
      <c r="IO18" s="138">
        <v>2.1000000000000001E-2</v>
      </c>
      <c r="IP18" s="178">
        <v>0.05</v>
      </c>
      <c r="IQ18" s="178">
        <v>3.7000000000000002E-3</v>
      </c>
      <c r="IR18" s="178">
        <v>8.6999999999999994E-3</v>
      </c>
      <c r="IS18" s="178">
        <v>4.3E-3</v>
      </c>
      <c r="IT18" s="178">
        <v>1.0200000000000001E-2</v>
      </c>
      <c r="IU18" s="178">
        <v>4.7E-2</v>
      </c>
      <c r="IV18" s="138">
        <v>1.0313000000000001</v>
      </c>
      <c r="IW18" s="178">
        <v>0.26729999999999998</v>
      </c>
      <c r="IX18" s="178">
        <v>4.1000000000000003E-3</v>
      </c>
      <c r="IY18" s="133" t="s">
        <v>160</v>
      </c>
      <c r="IZ18" s="133" t="s">
        <v>160</v>
      </c>
      <c r="JA18" s="52" t="s">
        <v>160</v>
      </c>
      <c r="JB18" s="52" t="s">
        <v>160</v>
      </c>
      <c r="JC18" s="52" t="s">
        <v>160</v>
      </c>
      <c r="JD18" s="52" t="s">
        <v>160</v>
      </c>
      <c r="JE18" s="52" t="s">
        <v>160</v>
      </c>
      <c r="JF18" s="52" t="s">
        <v>160</v>
      </c>
      <c r="JG18" s="52" t="s">
        <v>160</v>
      </c>
      <c r="JH18" s="52" t="s">
        <v>160</v>
      </c>
      <c r="JI18" s="138">
        <v>5.5999999999999999E-3</v>
      </c>
      <c r="JJ18" s="138">
        <v>8.0000000000000002E-3</v>
      </c>
      <c r="JK18" s="138">
        <v>2.1000000000000001E-2</v>
      </c>
      <c r="JL18" s="178">
        <v>0.05</v>
      </c>
      <c r="JM18" s="178">
        <v>3.7000000000000002E-3</v>
      </c>
      <c r="JN18" s="178">
        <v>8.6999999999999994E-3</v>
      </c>
      <c r="JO18" s="178">
        <v>4.3E-3</v>
      </c>
      <c r="JP18" s="178">
        <v>1.0200000000000001E-2</v>
      </c>
      <c r="JQ18" s="178">
        <v>4.7E-2</v>
      </c>
      <c r="JR18" s="138">
        <v>1.0313000000000001</v>
      </c>
      <c r="JS18" s="178">
        <v>0.26729999999999998</v>
      </c>
      <c r="JT18" s="178">
        <v>4.1000000000000003E-3</v>
      </c>
      <c r="JU18" s="133" t="s">
        <v>160</v>
      </c>
      <c r="JV18" s="133" t="s">
        <v>160</v>
      </c>
      <c r="JW18" s="52" t="s">
        <v>160</v>
      </c>
      <c r="JX18" s="52" t="s">
        <v>160</v>
      </c>
      <c r="JY18" s="52" t="s">
        <v>160</v>
      </c>
      <c r="JZ18" s="52" t="s">
        <v>160</v>
      </c>
      <c r="KA18" s="52" t="s">
        <v>160</v>
      </c>
      <c r="KB18" s="52" t="s">
        <v>160</v>
      </c>
      <c r="KC18" s="52" t="s">
        <v>160</v>
      </c>
      <c r="KD18" s="52" t="s">
        <v>160</v>
      </c>
      <c r="KE18" s="138">
        <v>5.1000000000000004E-3</v>
      </c>
      <c r="KF18" s="138">
        <v>7.3000000000000001E-3</v>
      </c>
      <c r="KG18" s="138">
        <v>1.9800000000000002E-2</v>
      </c>
      <c r="KH18" s="178">
        <v>4.7100000000000003E-2</v>
      </c>
      <c r="KI18" s="178">
        <v>3.3999999999999998E-3</v>
      </c>
      <c r="KJ18" s="178">
        <v>8.2000000000000007E-3</v>
      </c>
      <c r="KK18" s="178">
        <v>4.3E-3</v>
      </c>
      <c r="KL18" s="178">
        <v>1.03E-2</v>
      </c>
      <c r="KM18" s="178">
        <v>4.2799999999999998E-2</v>
      </c>
      <c r="KN18" s="138">
        <v>0.9355</v>
      </c>
      <c r="KO18" s="178">
        <v>0.24249999999999999</v>
      </c>
      <c r="KP18" s="178">
        <v>3.8E-3</v>
      </c>
      <c r="KQ18" s="133" t="s">
        <v>160</v>
      </c>
      <c r="KR18" s="133" t="s">
        <v>160</v>
      </c>
      <c r="KS18" s="52" t="s">
        <v>160</v>
      </c>
      <c r="KT18" s="52" t="s">
        <v>160</v>
      </c>
      <c r="KU18" s="52" t="s">
        <v>160</v>
      </c>
      <c r="KV18" s="52" t="s">
        <v>160</v>
      </c>
      <c r="KW18" s="52" t="s">
        <v>160</v>
      </c>
      <c r="KX18" s="52" t="s">
        <v>160</v>
      </c>
      <c r="KY18" s="52" t="s">
        <v>160</v>
      </c>
      <c r="KZ18" s="52" t="s">
        <v>160</v>
      </c>
    </row>
    <row r="19" spans="2:312">
      <c r="B19" s="345"/>
      <c r="C19" t="s">
        <v>74</v>
      </c>
      <c r="D19" t="s">
        <v>72</v>
      </c>
      <c r="E19" s="138">
        <v>5.8999999999999999E-3</v>
      </c>
      <c r="F19" s="138">
        <v>8.3999999999999995E-3</v>
      </c>
      <c r="G19" s="138">
        <v>2.18E-2</v>
      </c>
      <c r="H19" s="178">
        <v>5.1900000000000002E-2</v>
      </c>
      <c r="I19" s="178">
        <v>3.8E-3</v>
      </c>
      <c r="J19" s="178">
        <v>8.9999999999999993E-3</v>
      </c>
      <c r="K19" s="178">
        <v>5.1999999999999998E-3</v>
      </c>
      <c r="L19" s="178">
        <v>1.2500000000000001E-2</v>
      </c>
      <c r="M19" s="178">
        <v>4.9200000000000001E-2</v>
      </c>
      <c r="N19" s="138">
        <v>0.78590000000000004</v>
      </c>
      <c r="O19" s="253">
        <v>0.20369999999999999</v>
      </c>
      <c r="P19" s="178">
        <v>4.4999999999999997E-3</v>
      </c>
      <c r="Q19" s="133" t="s">
        <v>160</v>
      </c>
      <c r="R19" s="133" t="s">
        <v>160</v>
      </c>
      <c r="S19" s="52" t="s">
        <v>160</v>
      </c>
      <c r="T19" s="52" t="s">
        <v>160</v>
      </c>
      <c r="U19" s="52" t="s">
        <v>160</v>
      </c>
      <c r="V19" s="52" t="s">
        <v>160</v>
      </c>
      <c r="W19" s="52" t="s">
        <v>160</v>
      </c>
      <c r="X19" s="52" t="s">
        <v>160</v>
      </c>
      <c r="Y19" s="133" t="s">
        <v>160</v>
      </c>
      <c r="Z19" s="52" t="s">
        <v>160</v>
      </c>
      <c r="AA19" s="138">
        <v>5.8999999999999999E-3</v>
      </c>
      <c r="AB19" s="138">
        <v>8.3999999999999995E-3</v>
      </c>
      <c r="AC19" s="138">
        <v>2.6100000000000002E-2</v>
      </c>
      <c r="AD19" s="178">
        <v>6.2100000000000002E-2</v>
      </c>
      <c r="AE19" s="178">
        <v>4.4999999999999997E-3</v>
      </c>
      <c r="AF19" s="178">
        <v>1.0800000000000001E-2</v>
      </c>
      <c r="AG19" s="178">
        <v>5.1000000000000004E-3</v>
      </c>
      <c r="AH19" s="178">
        <v>1.2200000000000001E-2</v>
      </c>
      <c r="AI19" s="178">
        <v>4.9200000000000001E-2</v>
      </c>
      <c r="AJ19" s="138">
        <v>1.0563</v>
      </c>
      <c r="AK19" s="178">
        <v>0.27379999999999999</v>
      </c>
      <c r="AL19" s="178">
        <v>5.4999999999999997E-3</v>
      </c>
      <c r="AM19" s="133" t="s">
        <v>160</v>
      </c>
      <c r="AN19" s="133" t="s">
        <v>160</v>
      </c>
      <c r="AO19" s="52" t="s">
        <v>160</v>
      </c>
      <c r="AP19" s="52" t="s">
        <v>160</v>
      </c>
      <c r="AQ19" s="52" t="s">
        <v>160</v>
      </c>
      <c r="AR19" s="52" t="s">
        <v>160</v>
      </c>
      <c r="AS19" s="52" t="s">
        <v>160</v>
      </c>
      <c r="AT19" s="52" t="s">
        <v>160</v>
      </c>
      <c r="AU19" s="52" t="s">
        <v>160</v>
      </c>
      <c r="AV19" s="52" t="s">
        <v>160</v>
      </c>
      <c r="AW19" s="52" t="s">
        <v>160</v>
      </c>
      <c r="AX19" s="52" t="s">
        <v>160</v>
      </c>
      <c r="AY19" s="52" t="s">
        <v>160</v>
      </c>
      <c r="AZ19" s="52" t="s">
        <v>160</v>
      </c>
      <c r="BA19" s="52" t="s">
        <v>160</v>
      </c>
      <c r="BB19" s="52" t="s">
        <v>160</v>
      </c>
      <c r="BC19" s="52" t="s">
        <v>160</v>
      </c>
      <c r="BD19" s="52" t="s">
        <v>160</v>
      </c>
      <c r="BE19" s="52" t="s">
        <v>160</v>
      </c>
      <c r="BF19" s="52" t="s">
        <v>160</v>
      </c>
      <c r="BG19" s="52" t="s">
        <v>160</v>
      </c>
      <c r="BH19" s="52" t="s">
        <v>160</v>
      </c>
      <c r="BI19" s="133" t="s">
        <v>160</v>
      </c>
      <c r="BJ19" s="133" t="s">
        <v>160</v>
      </c>
      <c r="BK19" s="52" t="s">
        <v>160</v>
      </c>
      <c r="BL19" s="52" t="s">
        <v>160</v>
      </c>
      <c r="BM19" s="52" t="s">
        <v>160</v>
      </c>
      <c r="BN19" s="52" t="s">
        <v>160</v>
      </c>
      <c r="BO19" s="52" t="s">
        <v>160</v>
      </c>
      <c r="BP19" s="52" t="s">
        <v>160</v>
      </c>
      <c r="BQ19" s="52" t="s">
        <v>160</v>
      </c>
      <c r="BR19" s="52" t="s">
        <v>160</v>
      </c>
      <c r="BS19" s="138">
        <v>6.8999999999999999E-3</v>
      </c>
      <c r="BT19" s="138">
        <v>9.7999999999999997E-3</v>
      </c>
      <c r="BU19" s="138">
        <v>2.7799999999999998E-2</v>
      </c>
      <c r="BV19" s="178">
        <v>6.6199999999999995E-2</v>
      </c>
      <c r="BW19" s="178">
        <v>4.7999999999999996E-3</v>
      </c>
      <c r="BX19" s="178">
        <v>1.15E-2</v>
      </c>
      <c r="BY19" s="178">
        <v>5.0000000000000001E-3</v>
      </c>
      <c r="BZ19" s="178">
        <v>1.18E-2</v>
      </c>
      <c r="CA19" s="178">
        <v>5.7200000000000001E-2</v>
      </c>
      <c r="CB19" s="138">
        <v>1.2935000000000001</v>
      </c>
      <c r="CC19" s="178">
        <v>0.33529999999999999</v>
      </c>
      <c r="CD19" s="178">
        <v>5.7000000000000002E-3</v>
      </c>
      <c r="CE19" s="133" t="s">
        <v>160</v>
      </c>
      <c r="CF19" s="133" t="s">
        <v>160</v>
      </c>
      <c r="CG19" s="52" t="s">
        <v>160</v>
      </c>
      <c r="CH19" s="52" t="s">
        <v>160</v>
      </c>
      <c r="CI19" s="52" t="s">
        <v>160</v>
      </c>
      <c r="CJ19" s="52" t="s">
        <v>160</v>
      </c>
      <c r="CK19" s="52" t="s">
        <v>160</v>
      </c>
      <c r="CL19" s="52" t="s">
        <v>160</v>
      </c>
      <c r="CM19" s="52" t="s">
        <v>160</v>
      </c>
      <c r="CN19" s="52" t="s">
        <v>160</v>
      </c>
      <c r="CO19" s="138">
        <v>6.8999999999999999E-3</v>
      </c>
      <c r="CP19" s="138">
        <v>9.7999999999999997E-3</v>
      </c>
      <c r="CQ19" s="138">
        <v>2.7799999999999998E-2</v>
      </c>
      <c r="CR19" s="178">
        <v>6.6199999999999995E-2</v>
      </c>
      <c r="CS19" s="178">
        <v>4.7999999999999996E-3</v>
      </c>
      <c r="CT19" s="178">
        <v>1.15E-2</v>
      </c>
      <c r="CU19" s="178">
        <v>5.0000000000000001E-3</v>
      </c>
      <c r="CV19" s="178">
        <v>1.18E-2</v>
      </c>
      <c r="CW19" s="178">
        <v>5.7200000000000001E-2</v>
      </c>
      <c r="CX19" s="138">
        <v>1.2935000000000001</v>
      </c>
      <c r="CY19" s="178">
        <v>0.33529999999999999</v>
      </c>
      <c r="CZ19" s="178">
        <v>5.7000000000000002E-3</v>
      </c>
      <c r="DA19" s="133" t="s">
        <v>160</v>
      </c>
      <c r="DB19" s="133" t="s">
        <v>160</v>
      </c>
      <c r="DC19" s="52" t="s">
        <v>160</v>
      </c>
      <c r="DD19" s="52" t="s">
        <v>160</v>
      </c>
      <c r="DE19" s="52" t="s">
        <v>160</v>
      </c>
      <c r="DF19" s="52" t="s">
        <v>160</v>
      </c>
      <c r="DG19" s="52" t="s">
        <v>160</v>
      </c>
      <c r="DH19" s="52" t="s">
        <v>160</v>
      </c>
      <c r="DI19" s="52" t="s">
        <v>160</v>
      </c>
      <c r="DJ19" s="52" t="s">
        <v>160</v>
      </c>
      <c r="DK19" s="138">
        <v>6.8999999999999999E-3</v>
      </c>
      <c r="DL19" s="138">
        <v>9.7999999999999997E-3</v>
      </c>
      <c r="DM19" s="138">
        <v>2.7799999999999998E-2</v>
      </c>
      <c r="DN19" s="178">
        <v>6.6199999999999995E-2</v>
      </c>
      <c r="DO19" s="178">
        <v>4.7999999999999996E-3</v>
      </c>
      <c r="DP19" s="178">
        <v>1.15E-2</v>
      </c>
      <c r="DQ19" s="178">
        <v>5.0000000000000001E-3</v>
      </c>
      <c r="DR19" s="178">
        <v>1.18E-2</v>
      </c>
      <c r="DS19" s="178">
        <v>5.7200000000000001E-2</v>
      </c>
      <c r="DT19" s="138">
        <v>1.2935000000000001</v>
      </c>
      <c r="DU19" s="178">
        <v>0.33529999999999999</v>
      </c>
      <c r="DV19" s="178">
        <v>5.7000000000000002E-3</v>
      </c>
      <c r="DW19" s="133" t="s">
        <v>160</v>
      </c>
      <c r="DX19" s="133" t="s">
        <v>160</v>
      </c>
      <c r="DY19" s="52" t="s">
        <v>160</v>
      </c>
      <c r="DZ19" s="52" t="s">
        <v>160</v>
      </c>
      <c r="EA19" s="52" t="s">
        <v>160</v>
      </c>
      <c r="EB19" s="52" t="s">
        <v>160</v>
      </c>
      <c r="EC19" s="52" t="s">
        <v>160</v>
      </c>
      <c r="ED19" s="52" t="s">
        <v>160</v>
      </c>
      <c r="EE19" s="52" t="s">
        <v>160</v>
      </c>
      <c r="EF19" s="52" t="s">
        <v>160</v>
      </c>
      <c r="EG19" s="138">
        <v>5.8999999999999999E-3</v>
      </c>
      <c r="EH19" s="138">
        <v>8.3999999999999995E-3</v>
      </c>
      <c r="EI19" s="138">
        <v>2.6100000000000002E-2</v>
      </c>
      <c r="EJ19" s="178">
        <v>6.2100000000000002E-2</v>
      </c>
      <c r="EK19" s="178">
        <v>4.4999999999999997E-3</v>
      </c>
      <c r="EL19" s="178">
        <v>1.0800000000000001E-2</v>
      </c>
      <c r="EM19" s="178">
        <v>5.1000000000000004E-3</v>
      </c>
      <c r="EN19" s="178">
        <v>1.2200000000000001E-2</v>
      </c>
      <c r="EO19" s="178">
        <v>4.9200000000000001E-2</v>
      </c>
      <c r="EP19" s="138">
        <v>1.0563</v>
      </c>
      <c r="EQ19" s="178">
        <v>0.27379999999999999</v>
      </c>
      <c r="ER19" s="178">
        <v>5.4999999999999997E-3</v>
      </c>
      <c r="ES19" s="133" t="s">
        <v>160</v>
      </c>
      <c r="ET19" s="133" t="s">
        <v>160</v>
      </c>
      <c r="EU19" s="52" t="s">
        <v>160</v>
      </c>
      <c r="EV19" s="52" t="s">
        <v>160</v>
      </c>
      <c r="EW19" s="52" t="s">
        <v>160</v>
      </c>
      <c r="EX19" s="52" t="s">
        <v>160</v>
      </c>
      <c r="EY19" s="52" t="s">
        <v>160</v>
      </c>
      <c r="EZ19" s="52" t="s">
        <v>160</v>
      </c>
      <c r="FA19" s="52" t="s">
        <v>160</v>
      </c>
      <c r="FB19" s="52" t="s">
        <v>160</v>
      </c>
      <c r="FC19" s="138">
        <v>6.7999999999999996E-3</v>
      </c>
      <c r="FD19" s="138">
        <v>9.5999999999999992E-3</v>
      </c>
      <c r="FE19" s="138">
        <v>3.0099999999999998E-2</v>
      </c>
      <c r="FF19" s="178">
        <v>7.17E-2</v>
      </c>
      <c r="FG19" s="178">
        <v>5.1999999999999998E-3</v>
      </c>
      <c r="FH19" s="178">
        <v>1.2500000000000001E-2</v>
      </c>
      <c r="FI19" s="178">
        <v>4.4000000000000003E-3</v>
      </c>
      <c r="FJ19" s="178">
        <v>1.0500000000000001E-2</v>
      </c>
      <c r="FK19" s="178">
        <v>5.6399999999999999E-2</v>
      </c>
      <c r="FL19" s="138">
        <v>1.5419</v>
      </c>
      <c r="FM19" s="178">
        <v>0.39960000000000001</v>
      </c>
      <c r="FN19" s="178">
        <v>6.1999999999999998E-3</v>
      </c>
      <c r="FO19" s="133" t="s">
        <v>160</v>
      </c>
      <c r="FP19" s="133" t="s">
        <v>160</v>
      </c>
      <c r="FQ19" s="52" t="s">
        <v>160</v>
      </c>
      <c r="FR19" s="52" t="s">
        <v>160</v>
      </c>
      <c r="FS19" s="52" t="s">
        <v>160</v>
      </c>
      <c r="FT19" s="52" t="s">
        <v>160</v>
      </c>
      <c r="FU19" s="52" t="s">
        <v>160</v>
      </c>
      <c r="FV19" s="52" t="s">
        <v>160</v>
      </c>
      <c r="FW19" s="52" t="s">
        <v>160</v>
      </c>
      <c r="FX19" s="52" t="s">
        <v>160</v>
      </c>
      <c r="FY19" s="138">
        <v>5.8999999999999999E-3</v>
      </c>
      <c r="FZ19" s="138">
        <v>8.3999999999999995E-3</v>
      </c>
      <c r="GA19" s="138">
        <v>2.6100000000000002E-2</v>
      </c>
      <c r="GB19" s="178">
        <v>6.2100000000000002E-2</v>
      </c>
      <c r="GC19" s="178">
        <v>4.4999999999999997E-3</v>
      </c>
      <c r="GD19" s="178">
        <v>1.0800000000000001E-2</v>
      </c>
      <c r="GE19" s="178">
        <v>5.1000000000000004E-3</v>
      </c>
      <c r="GF19" s="178">
        <v>1.2200000000000001E-2</v>
      </c>
      <c r="GG19" s="178">
        <v>4.9200000000000001E-2</v>
      </c>
      <c r="GH19" s="138">
        <v>1.0563</v>
      </c>
      <c r="GI19" s="178">
        <v>0.27379999999999999</v>
      </c>
      <c r="GJ19" s="178">
        <v>5.4999999999999997E-3</v>
      </c>
      <c r="GK19" s="133" t="s">
        <v>160</v>
      </c>
      <c r="GL19" s="133" t="s">
        <v>160</v>
      </c>
      <c r="GM19" s="52" t="s">
        <v>160</v>
      </c>
      <c r="GN19" s="52" t="s">
        <v>160</v>
      </c>
      <c r="GO19" s="52" t="s">
        <v>160</v>
      </c>
      <c r="GP19" s="52" t="s">
        <v>160</v>
      </c>
      <c r="GQ19" s="52" t="s">
        <v>160</v>
      </c>
      <c r="GR19" s="52" t="s">
        <v>160</v>
      </c>
      <c r="GS19" s="52" t="s">
        <v>160</v>
      </c>
      <c r="GT19" s="52" t="s">
        <v>160</v>
      </c>
      <c r="GU19" s="138">
        <v>5.8999999999999999E-3</v>
      </c>
      <c r="GV19" s="138">
        <v>8.3999999999999995E-3</v>
      </c>
      <c r="GW19" s="138">
        <v>2.18E-2</v>
      </c>
      <c r="GX19" s="178">
        <v>5.1900000000000002E-2</v>
      </c>
      <c r="GY19" s="178">
        <v>3.8E-3</v>
      </c>
      <c r="GZ19" s="178">
        <v>8.9999999999999993E-3</v>
      </c>
      <c r="HA19" s="178">
        <v>5.1999999999999998E-3</v>
      </c>
      <c r="HB19" s="178">
        <v>1.2500000000000001E-2</v>
      </c>
      <c r="HC19" s="178">
        <v>4.9200000000000001E-2</v>
      </c>
      <c r="HD19" s="138">
        <v>0.78590000000000004</v>
      </c>
      <c r="HE19" s="178">
        <v>0.20369999999999999</v>
      </c>
      <c r="HF19" s="178">
        <v>4.4999999999999997E-3</v>
      </c>
      <c r="HG19" s="133" t="s">
        <v>160</v>
      </c>
      <c r="HH19" s="133" t="s">
        <v>160</v>
      </c>
      <c r="HI19" s="52" t="s">
        <v>160</v>
      </c>
      <c r="HJ19" s="52" t="s">
        <v>160</v>
      </c>
      <c r="HK19" s="52" t="s">
        <v>160</v>
      </c>
      <c r="HL19" s="52" t="s">
        <v>160</v>
      </c>
      <c r="HM19" s="52" t="s">
        <v>160</v>
      </c>
      <c r="HN19" s="52" t="s">
        <v>160</v>
      </c>
      <c r="HO19" s="52" t="s">
        <v>160</v>
      </c>
      <c r="HP19" s="52" t="s">
        <v>160</v>
      </c>
      <c r="HQ19" s="138">
        <v>5.8999999999999999E-3</v>
      </c>
      <c r="HR19" s="138">
        <v>8.3999999999999995E-3</v>
      </c>
      <c r="HS19" s="138">
        <v>2.18E-2</v>
      </c>
      <c r="HT19" s="178">
        <v>5.1900000000000002E-2</v>
      </c>
      <c r="HU19" s="178">
        <v>3.8E-3</v>
      </c>
      <c r="HV19" s="178">
        <v>8.9999999999999993E-3</v>
      </c>
      <c r="HW19" s="178">
        <v>5.1999999999999998E-3</v>
      </c>
      <c r="HX19" s="178">
        <v>1.2500000000000001E-2</v>
      </c>
      <c r="HY19" s="178">
        <v>4.9200000000000001E-2</v>
      </c>
      <c r="HZ19" s="138">
        <v>0.78590000000000004</v>
      </c>
      <c r="IA19" s="178">
        <v>0.20369999999999999</v>
      </c>
      <c r="IB19" s="178">
        <v>4.4999999999999997E-3</v>
      </c>
      <c r="IC19" s="133" t="s">
        <v>160</v>
      </c>
      <c r="ID19" s="133" t="s">
        <v>160</v>
      </c>
      <c r="IE19" s="52" t="s">
        <v>160</v>
      </c>
      <c r="IF19" s="52" t="s">
        <v>160</v>
      </c>
      <c r="IG19" s="52" t="s">
        <v>160</v>
      </c>
      <c r="IH19" s="52" t="s">
        <v>160</v>
      </c>
      <c r="II19" s="52" t="s">
        <v>160</v>
      </c>
      <c r="IJ19" s="52" t="s">
        <v>160</v>
      </c>
      <c r="IK19" s="52" t="s">
        <v>160</v>
      </c>
      <c r="IL19" s="52" t="s">
        <v>160</v>
      </c>
      <c r="IM19" s="138">
        <v>6.8999999999999999E-3</v>
      </c>
      <c r="IN19" s="138">
        <v>9.7999999999999997E-3</v>
      </c>
      <c r="IO19" s="138">
        <v>2.7799999999999998E-2</v>
      </c>
      <c r="IP19" s="178">
        <v>6.6199999999999995E-2</v>
      </c>
      <c r="IQ19" s="178">
        <v>4.7999999999999996E-3</v>
      </c>
      <c r="IR19" s="178">
        <v>1.15E-2</v>
      </c>
      <c r="IS19" s="178">
        <v>5.0000000000000001E-3</v>
      </c>
      <c r="IT19" s="178">
        <v>1.18E-2</v>
      </c>
      <c r="IU19" s="178">
        <v>5.7200000000000001E-2</v>
      </c>
      <c r="IV19" s="138">
        <v>1.2935000000000001</v>
      </c>
      <c r="IW19" s="178">
        <v>0.33529999999999999</v>
      </c>
      <c r="IX19" s="178">
        <v>5.7000000000000002E-3</v>
      </c>
      <c r="IY19" s="133" t="s">
        <v>160</v>
      </c>
      <c r="IZ19" s="133" t="s">
        <v>160</v>
      </c>
      <c r="JA19" s="52" t="s">
        <v>160</v>
      </c>
      <c r="JB19" s="52" t="s">
        <v>160</v>
      </c>
      <c r="JC19" s="52" t="s">
        <v>160</v>
      </c>
      <c r="JD19" s="52" t="s">
        <v>160</v>
      </c>
      <c r="JE19" s="52" t="s">
        <v>160</v>
      </c>
      <c r="JF19" s="52" t="s">
        <v>160</v>
      </c>
      <c r="JG19" s="52" t="s">
        <v>160</v>
      </c>
      <c r="JH19" s="52" t="s">
        <v>160</v>
      </c>
      <c r="JI19" s="138">
        <v>6.8999999999999999E-3</v>
      </c>
      <c r="JJ19" s="138">
        <v>9.7999999999999997E-3</v>
      </c>
      <c r="JK19" s="138">
        <v>2.7799999999999998E-2</v>
      </c>
      <c r="JL19" s="178">
        <v>6.6199999999999995E-2</v>
      </c>
      <c r="JM19" s="178">
        <v>4.7999999999999996E-3</v>
      </c>
      <c r="JN19" s="178">
        <v>1.15E-2</v>
      </c>
      <c r="JO19" s="178">
        <v>5.0000000000000001E-3</v>
      </c>
      <c r="JP19" s="178">
        <v>1.18E-2</v>
      </c>
      <c r="JQ19" s="178">
        <v>5.7200000000000001E-2</v>
      </c>
      <c r="JR19" s="138">
        <v>1.2935000000000001</v>
      </c>
      <c r="JS19" s="178">
        <v>0.33529999999999999</v>
      </c>
      <c r="JT19" s="178">
        <v>5.7000000000000002E-3</v>
      </c>
      <c r="JU19" s="133" t="s">
        <v>160</v>
      </c>
      <c r="JV19" s="133" t="s">
        <v>160</v>
      </c>
      <c r="JW19" s="52" t="s">
        <v>160</v>
      </c>
      <c r="JX19" s="52" t="s">
        <v>160</v>
      </c>
      <c r="JY19" s="52" t="s">
        <v>160</v>
      </c>
      <c r="JZ19" s="52" t="s">
        <v>160</v>
      </c>
      <c r="KA19" s="52" t="s">
        <v>160</v>
      </c>
      <c r="KB19" s="52" t="s">
        <v>160</v>
      </c>
      <c r="KC19" s="52" t="s">
        <v>160</v>
      </c>
      <c r="KD19" s="52" t="s">
        <v>160</v>
      </c>
      <c r="KE19" s="138">
        <v>6.0000000000000001E-3</v>
      </c>
      <c r="KF19" s="138">
        <v>8.6E-3</v>
      </c>
      <c r="KG19" s="138">
        <v>2.4899999999999999E-2</v>
      </c>
      <c r="KH19" s="178">
        <v>5.9200000000000003E-2</v>
      </c>
      <c r="KI19" s="178">
        <v>4.3E-3</v>
      </c>
      <c r="KJ19" s="178">
        <v>1.03E-2</v>
      </c>
      <c r="KK19" s="178">
        <v>4.8999999999999998E-3</v>
      </c>
      <c r="KL19" s="178">
        <v>1.1599999999999999E-2</v>
      </c>
      <c r="KM19" s="178">
        <v>5.0299999999999997E-2</v>
      </c>
      <c r="KN19" s="138">
        <v>1.1607000000000001</v>
      </c>
      <c r="KO19" s="178">
        <v>0.30080000000000001</v>
      </c>
      <c r="KP19" s="178">
        <v>5.0000000000000001E-3</v>
      </c>
      <c r="KQ19" s="133" t="s">
        <v>160</v>
      </c>
      <c r="KR19" s="133" t="s">
        <v>160</v>
      </c>
      <c r="KS19" s="52" t="s">
        <v>160</v>
      </c>
      <c r="KT19" s="52" t="s">
        <v>160</v>
      </c>
      <c r="KU19" s="52" t="s">
        <v>160</v>
      </c>
      <c r="KV19" s="52" t="s">
        <v>160</v>
      </c>
      <c r="KW19" s="52" t="s">
        <v>160</v>
      </c>
      <c r="KX19" s="52" t="s">
        <v>160</v>
      </c>
      <c r="KY19" s="52" t="s">
        <v>160</v>
      </c>
      <c r="KZ19" s="52" t="s">
        <v>160</v>
      </c>
    </row>
    <row r="20" spans="2:312" s="131" customFormat="1">
      <c r="B20" s="345"/>
      <c r="C20" s="185" t="s">
        <v>75</v>
      </c>
      <c r="D20" s="131" t="s">
        <v>76</v>
      </c>
      <c r="E20" s="184">
        <v>4103</v>
      </c>
      <c r="F20" s="184">
        <v>4103</v>
      </c>
      <c r="G20" s="184">
        <v>12465</v>
      </c>
      <c r="H20" s="184">
        <v>12465</v>
      </c>
      <c r="I20" s="184">
        <v>4103</v>
      </c>
      <c r="J20" s="184">
        <v>4103</v>
      </c>
      <c r="K20" s="184">
        <v>30391</v>
      </c>
      <c r="L20" s="184">
        <v>30391</v>
      </c>
      <c r="M20" s="184">
        <v>124485</v>
      </c>
      <c r="N20" s="184">
        <v>67099</v>
      </c>
      <c r="O20" s="184">
        <v>71671</v>
      </c>
      <c r="P20" s="184">
        <v>1032</v>
      </c>
      <c r="Q20" s="184">
        <v>905</v>
      </c>
      <c r="R20" s="184">
        <v>905</v>
      </c>
      <c r="S20" s="184">
        <v>1721</v>
      </c>
      <c r="T20" s="58" t="s">
        <v>160</v>
      </c>
      <c r="U20" s="184">
        <v>2076125</v>
      </c>
      <c r="V20" s="184">
        <v>101873</v>
      </c>
      <c r="W20" s="184">
        <v>101873</v>
      </c>
      <c r="X20" s="58" t="s">
        <v>160</v>
      </c>
      <c r="Y20" s="184">
        <v>15773</v>
      </c>
      <c r="Z20" s="58" t="s">
        <v>160</v>
      </c>
      <c r="AA20" s="184">
        <v>20564</v>
      </c>
      <c r="AB20" s="184">
        <v>20564</v>
      </c>
      <c r="AC20" s="184">
        <v>54403</v>
      </c>
      <c r="AD20" s="184">
        <v>54403</v>
      </c>
      <c r="AE20" s="184">
        <v>20564</v>
      </c>
      <c r="AF20" s="184">
        <v>20564</v>
      </c>
      <c r="AG20" s="184">
        <v>39805</v>
      </c>
      <c r="AH20" s="184">
        <v>39805</v>
      </c>
      <c r="AI20" s="184">
        <v>124485</v>
      </c>
      <c r="AJ20" s="184">
        <v>282698</v>
      </c>
      <c r="AK20" s="184">
        <v>234628</v>
      </c>
      <c r="AL20" s="184">
        <v>4249</v>
      </c>
      <c r="AM20" s="184">
        <v>1218</v>
      </c>
      <c r="AN20" s="184">
        <v>1218</v>
      </c>
      <c r="AO20" s="184">
        <v>375918</v>
      </c>
      <c r="AP20" s="58" t="s">
        <v>160</v>
      </c>
      <c r="AQ20" s="184">
        <v>7352941</v>
      </c>
      <c r="AR20" s="184">
        <v>419677</v>
      </c>
      <c r="AS20" s="184">
        <v>419677</v>
      </c>
      <c r="AT20" s="58" t="s">
        <v>160</v>
      </c>
      <c r="AU20" s="184">
        <v>148880</v>
      </c>
      <c r="AV20" s="58" t="s">
        <v>160</v>
      </c>
      <c r="AW20" s="184">
        <v>14997</v>
      </c>
      <c r="AX20" s="184">
        <v>14997</v>
      </c>
      <c r="AY20" s="184">
        <v>28320</v>
      </c>
      <c r="AZ20" s="184">
        <v>28320</v>
      </c>
      <c r="BA20" s="184">
        <v>14997</v>
      </c>
      <c r="BB20" s="184">
        <v>14997</v>
      </c>
      <c r="BC20" s="184">
        <v>30391</v>
      </c>
      <c r="BD20" s="184">
        <v>30391</v>
      </c>
      <c r="BE20" s="184">
        <v>124485</v>
      </c>
      <c r="BF20" s="184">
        <v>134011</v>
      </c>
      <c r="BG20" s="184">
        <v>140289</v>
      </c>
      <c r="BH20" s="184">
        <v>5036</v>
      </c>
      <c r="BI20" s="184">
        <v>1347</v>
      </c>
      <c r="BJ20" s="184">
        <v>1347</v>
      </c>
      <c r="BK20" s="184">
        <v>214357</v>
      </c>
      <c r="BL20" s="58" t="s">
        <v>160</v>
      </c>
      <c r="BM20" s="184">
        <v>85324</v>
      </c>
      <c r="BN20" s="184">
        <v>22443</v>
      </c>
      <c r="BO20" s="184">
        <v>22443</v>
      </c>
      <c r="BP20" s="58" t="s">
        <v>160</v>
      </c>
      <c r="BQ20" s="184">
        <v>102545</v>
      </c>
      <c r="BR20" s="58" t="s">
        <v>160</v>
      </c>
      <c r="BS20" s="184">
        <v>25421</v>
      </c>
      <c r="BT20" s="184">
        <v>25421</v>
      </c>
      <c r="BU20" s="184">
        <v>17863</v>
      </c>
      <c r="BV20" s="184">
        <v>17863</v>
      </c>
      <c r="BW20" s="184">
        <v>25421</v>
      </c>
      <c r="BX20" s="184">
        <v>25421</v>
      </c>
      <c r="BY20" s="184">
        <v>34366</v>
      </c>
      <c r="BZ20" s="184">
        <v>34366</v>
      </c>
      <c r="CA20" s="184">
        <v>124485</v>
      </c>
      <c r="CB20" s="184">
        <v>41995</v>
      </c>
      <c r="CC20" s="184">
        <v>140289</v>
      </c>
      <c r="CD20" s="184">
        <v>3766</v>
      </c>
      <c r="CE20" s="184">
        <v>3583</v>
      </c>
      <c r="CF20" s="184">
        <v>3583</v>
      </c>
      <c r="CG20" s="184">
        <v>117428</v>
      </c>
      <c r="CH20" s="58" t="s">
        <v>160</v>
      </c>
      <c r="CI20" s="184">
        <v>10815822</v>
      </c>
      <c r="CJ20" s="184">
        <v>191882</v>
      </c>
      <c r="CK20" s="184">
        <v>191882</v>
      </c>
      <c r="CL20" s="58" t="s">
        <v>160</v>
      </c>
      <c r="CM20" s="184">
        <v>130091</v>
      </c>
      <c r="CN20" s="58" t="s">
        <v>160</v>
      </c>
      <c r="CO20" s="184">
        <v>10226</v>
      </c>
      <c r="CP20" s="184">
        <v>10226</v>
      </c>
      <c r="CQ20" s="184">
        <v>23730</v>
      </c>
      <c r="CR20" s="184">
        <v>23730</v>
      </c>
      <c r="CS20" s="184">
        <v>10226</v>
      </c>
      <c r="CT20" s="184">
        <v>10226</v>
      </c>
      <c r="CU20" s="184">
        <v>26182</v>
      </c>
      <c r="CV20" s="184">
        <v>26182</v>
      </c>
      <c r="CW20" s="184">
        <v>64970</v>
      </c>
      <c r="CX20" s="184">
        <v>112910</v>
      </c>
      <c r="CY20" s="184">
        <v>121823</v>
      </c>
      <c r="CZ20" s="184">
        <v>2890</v>
      </c>
      <c r="DA20" s="184">
        <v>1014</v>
      </c>
      <c r="DB20" s="184">
        <v>1014</v>
      </c>
      <c r="DC20" s="184">
        <v>84124</v>
      </c>
      <c r="DD20" s="58" t="s">
        <v>160</v>
      </c>
      <c r="DE20" s="184">
        <v>852020</v>
      </c>
      <c r="DF20" s="184">
        <v>130709</v>
      </c>
      <c r="DG20" s="184">
        <v>130709</v>
      </c>
      <c r="DH20" s="58" t="s">
        <v>160</v>
      </c>
      <c r="DI20" s="184">
        <v>34401</v>
      </c>
      <c r="DJ20" s="58" t="s">
        <v>160</v>
      </c>
      <c r="DK20" s="184">
        <v>17030</v>
      </c>
      <c r="DL20" s="184">
        <v>17030</v>
      </c>
      <c r="DM20" s="184">
        <v>39896</v>
      </c>
      <c r="DN20" s="184">
        <v>39896</v>
      </c>
      <c r="DO20" s="184">
        <v>17030</v>
      </c>
      <c r="DP20" s="184">
        <v>17030</v>
      </c>
      <c r="DQ20" s="184">
        <v>30391</v>
      </c>
      <c r="DR20" s="184">
        <v>30391</v>
      </c>
      <c r="DS20" s="184">
        <v>114157</v>
      </c>
      <c r="DT20" s="184">
        <v>107553</v>
      </c>
      <c r="DU20" s="184">
        <v>104141</v>
      </c>
      <c r="DV20" s="184">
        <v>6545</v>
      </c>
      <c r="DW20" s="184">
        <v>2352</v>
      </c>
      <c r="DX20" s="184">
        <v>2352</v>
      </c>
      <c r="DY20" s="184">
        <v>14060</v>
      </c>
      <c r="DZ20" s="58" t="s">
        <v>160</v>
      </c>
      <c r="EA20" s="184">
        <v>2018811</v>
      </c>
      <c r="EB20" s="184">
        <v>158917</v>
      </c>
      <c r="EC20" s="184">
        <v>158917</v>
      </c>
      <c r="ED20" s="58" t="s">
        <v>160</v>
      </c>
      <c r="EE20" s="184">
        <v>175439</v>
      </c>
      <c r="EF20" s="58" t="s">
        <v>160</v>
      </c>
      <c r="EG20" s="184">
        <v>34904</v>
      </c>
      <c r="EH20" s="184">
        <v>34904</v>
      </c>
      <c r="EI20" s="184">
        <v>49536</v>
      </c>
      <c r="EJ20" s="184">
        <v>49536</v>
      </c>
      <c r="EK20" s="184">
        <v>34904</v>
      </c>
      <c r="EL20" s="184">
        <v>34904</v>
      </c>
      <c r="EM20" s="184">
        <v>39783</v>
      </c>
      <c r="EN20" s="184">
        <v>39783</v>
      </c>
      <c r="EO20" s="184">
        <v>410689</v>
      </c>
      <c r="EP20" s="184">
        <v>282110</v>
      </c>
      <c r="EQ20" s="184">
        <v>270508</v>
      </c>
      <c r="ER20" s="184">
        <v>14925</v>
      </c>
      <c r="ES20" s="184">
        <v>1150</v>
      </c>
      <c r="ET20" s="184">
        <v>1150</v>
      </c>
      <c r="EU20" s="184">
        <v>956826</v>
      </c>
      <c r="EV20" s="58" t="s">
        <v>160</v>
      </c>
      <c r="EW20" s="184">
        <v>9508197</v>
      </c>
      <c r="EX20" s="184">
        <v>698603</v>
      </c>
      <c r="EY20" s="184">
        <v>698603</v>
      </c>
      <c r="EZ20" s="58" t="s">
        <v>160</v>
      </c>
      <c r="FA20" s="184">
        <v>461706</v>
      </c>
      <c r="FB20" s="58" t="s">
        <v>160</v>
      </c>
      <c r="FC20" s="184">
        <v>14202</v>
      </c>
      <c r="FD20" s="184">
        <v>14202</v>
      </c>
      <c r="FE20" s="184">
        <v>21774</v>
      </c>
      <c r="FF20" s="184">
        <v>21774</v>
      </c>
      <c r="FG20" s="184">
        <v>14202</v>
      </c>
      <c r="FH20" s="184">
        <v>14202</v>
      </c>
      <c r="FI20" s="184">
        <v>31398</v>
      </c>
      <c r="FJ20" s="184">
        <v>31398</v>
      </c>
      <c r="FK20" s="184">
        <v>124485</v>
      </c>
      <c r="FL20" s="184">
        <v>134011</v>
      </c>
      <c r="FM20" s="184">
        <v>120602</v>
      </c>
      <c r="FN20" s="184">
        <v>7160</v>
      </c>
      <c r="FO20" s="184">
        <v>949</v>
      </c>
      <c r="FP20" s="184">
        <v>949</v>
      </c>
      <c r="FQ20" s="184">
        <v>232192</v>
      </c>
      <c r="FR20" s="58" t="s">
        <v>160</v>
      </c>
      <c r="FS20" s="184">
        <v>3295311</v>
      </c>
      <c r="FT20" s="184">
        <v>308198</v>
      </c>
      <c r="FU20" s="184">
        <v>308198</v>
      </c>
      <c r="FV20" s="58" t="s">
        <v>160</v>
      </c>
      <c r="FW20" s="184">
        <v>389038</v>
      </c>
      <c r="FX20" s="58" t="s">
        <v>160</v>
      </c>
      <c r="FY20" s="184">
        <v>16314</v>
      </c>
      <c r="FZ20" s="184">
        <v>16314</v>
      </c>
      <c r="GA20" s="184">
        <v>52524</v>
      </c>
      <c r="GB20" s="184">
        <v>52524</v>
      </c>
      <c r="GC20" s="184">
        <v>16314</v>
      </c>
      <c r="GD20" s="184">
        <v>16314</v>
      </c>
      <c r="GE20" s="184">
        <v>48966</v>
      </c>
      <c r="GF20" s="184">
        <v>48966</v>
      </c>
      <c r="GG20" s="184">
        <v>124485</v>
      </c>
      <c r="GH20" s="184">
        <v>254093</v>
      </c>
      <c r="GI20" s="184">
        <v>219906</v>
      </c>
      <c r="GJ20" s="184">
        <v>5343</v>
      </c>
      <c r="GK20" s="184">
        <v>1347</v>
      </c>
      <c r="GL20" s="184">
        <v>1347</v>
      </c>
      <c r="GM20" s="184">
        <v>13852</v>
      </c>
      <c r="GN20" s="58" t="s">
        <v>160</v>
      </c>
      <c r="GO20" s="184">
        <v>6069916</v>
      </c>
      <c r="GP20" s="184">
        <v>427709</v>
      </c>
      <c r="GQ20" s="184">
        <v>427709</v>
      </c>
      <c r="GR20" s="58" t="s">
        <v>160</v>
      </c>
      <c r="GS20" s="184">
        <v>111219</v>
      </c>
      <c r="GT20" s="58" t="s">
        <v>160</v>
      </c>
      <c r="GU20" s="184">
        <v>11052</v>
      </c>
      <c r="GV20" s="184">
        <v>11052</v>
      </c>
      <c r="GW20" s="184">
        <v>25987</v>
      </c>
      <c r="GX20" s="184">
        <v>25987</v>
      </c>
      <c r="GY20" s="184">
        <v>11052</v>
      </c>
      <c r="GZ20" s="184">
        <v>11052</v>
      </c>
      <c r="HA20" s="184">
        <v>33485</v>
      </c>
      <c r="HB20" s="184">
        <v>33485</v>
      </c>
      <c r="HC20" s="184">
        <v>124485</v>
      </c>
      <c r="HD20" s="184">
        <v>115422</v>
      </c>
      <c r="HE20" s="184">
        <v>109935</v>
      </c>
      <c r="HF20" s="184">
        <v>1465</v>
      </c>
      <c r="HG20" s="184">
        <v>1732</v>
      </c>
      <c r="HH20" s="184">
        <v>1732</v>
      </c>
      <c r="HI20" s="184">
        <v>35129</v>
      </c>
      <c r="HJ20" s="58" t="s">
        <v>160</v>
      </c>
      <c r="HK20" s="184">
        <v>2589396</v>
      </c>
      <c r="HL20" s="184">
        <v>187556</v>
      </c>
      <c r="HM20" s="184">
        <v>187556</v>
      </c>
      <c r="HN20" s="58" t="s">
        <v>160</v>
      </c>
      <c r="HO20" s="184">
        <v>183883</v>
      </c>
      <c r="HP20" s="58" t="s">
        <v>160</v>
      </c>
      <c r="HQ20" s="184">
        <v>12190</v>
      </c>
      <c r="HR20" s="184">
        <v>12190</v>
      </c>
      <c r="HS20" s="184">
        <v>22032</v>
      </c>
      <c r="HT20" s="184">
        <v>22032</v>
      </c>
      <c r="HU20" s="184">
        <v>12190</v>
      </c>
      <c r="HV20" s="184">
        <v>12190</v>
      </c>
      <c r="HW20" s="184">
        <v>19533</v>
      </c>
      <c r="HX20" s="184">
        <v>19533</v>
      </c>
      <c r="HY20" s="184">
        <v>124485</v>
      </c>
      <c r="HZ20" s="184">
        <v>128318</v>
      </c>
      <c r="IA20" s="184">
        <v>83333</v>
      </c>
      <c r="IB20" s="184">
        <v>2235</v>
      </c>
      <c r="IC20" s="184">
        <v>1347</v>
      </c>
      <c r="ID20" s="184">
        <v>1347</v>
      </c>
      <c r="IE20" s="184">
        <v>766117</v>
      </c>
      <c r="IF20" s="58" t="s">
        <v>160</v>
      </c>
      <c r="IG20" s="184">
        <v>9057971</v>
      </c>
      <c r="IH20" s="184">
        <v>323009</v>
      </c>
      <c r="II20" s="184">
        <v>323009</v>
      </c>
      <c r="IJ20" s="58" t="s">
        <v>160</v>
      </c>
      <c r="IK20" s="184">
        <v>30858</v>
      </c>
      <c r="IL20" s="58" t="s">
        <v>160</v>
      </c>
      <c r="IM20" s="184">
        <v>18868</v>
      </c>
      <c r="IN20" s="184">
        <v>18868</v>
      </c>
      <c r="IO20" s="184">
        <v>24539</v>
      </c>
      <c r="IP20" s="184">
        <v>24539</v>
      </c>
      <c r="IQ20" s="184">
        <v>18868</v>
      </c>
      <c r="IR20" s="184">
        <v>18868</v>
      </c>
      <c r="IS20" s="184">
        <v>30391</v>
      </c>
      <c r="IT20" s="184">
        <v>30391</v>
      </c>
      <c r="IU20" s="184">
        <v>124485</v>
      </c>
      <c r="IV20" s="184">
        <v>91592</v>
      </c>
      <c r="IW20" s="184">
        <v>202940</v>
      </c>
      <c r="IX20" s="184">
        <v>13499</v>
      </c>
      <c r="IY20" s="184">
        <v>1347</v>
      </c>
      <c r="IZ20" s="184">
        <v>1347</v>
      </c>
      <c r="JA20" s="184">
        <v>17617</v>
      </c>
      <c r="JB20" s="58" t="s">
        <v>160</v>
      </c>
      <c r="JC20" s="184">
        <v>1982821</v>
      </c>
      <c r="JD20" s="184">
        <v>215383</v>
      </c>
      <c r="JE20" s="184">
        <v>215383</v>
      </c>
      <c r="JF20" s="58" t="s">
        <v>160</v>
      </c>
      <c r="JG20" s="184">
        <v>29319</v>
      </c>
      <c r="JH20" s="58" t="s">
        <v>160</v>
      </c>
      <c r="JI20" s="184">
        <v>10086</v>
      </c>
      <c r="JJ20" s="184">
        <v>10086</v>
      </c>
      <c r="JK20" s="184">
        <v>23414</v>
      </c>
      <c r="JL20" s="184">
        <v>23414</v>
      </c>
      <c r="JM20" s="184">
        <v>10086</v>
      </c>
      <c r="JN20" s="184">
        <v>10086</v>
      </c>
      <c r="JO20" s="184">
        <v>30391</v>
      </c>
      <c r="JP20" s="184">
        <v>30391</v>
      </c>
      <c r="JQ20" s="184">
        <v>32609</v>
      </c>
      <c r="JR20" s="184">
        <v>124339</v>
      </c>
      <c r="JS20" s="184">
        <v>143984</v>
      </c>
      <c r="JT20" s="184">
        <v>2361</v>
      </c>
      <c r="JU20" s="184">
        <v>571</v>
      </c>
      <c r="JV20" s="184">
        <v>571</v>
      </c>
      <c r="JW20" s="184">
        <v>171655</v>
      </c>
      <c r="JX20" s="58" t="s">
        <v>160</v>
      </c>
      <c r="JY20" s="184">
        <v>4918635</v>
      </c>
      <c r="JZ20" s="184">
        <v>166713</v>
      </c>
      <c r="KA20" s="184">
        <v>166713</v>
      </c>
      <c r="KB20" s="58" t="s">
        <v>160</v>
      </c>
      <c r="KC20" s="184">
        <v>80913</v>
      </c>
      <c r="KD20" s="58" t="s">
        <v>160</v>
      </c>
      <c r="KE20" s="184">
        <v>14997</v>
      </c>
      <c r="KF20" s="184">
        <v>14997</v>
      </c>
      <c r="KG20" s="184">
        <v>28320</v>
      </c>
      <c r="KH20" s="184">
        <v>28320</v>
      </c>
      <c r="KI20" s="184">
        <v>14997</v>
      </c>
      <c r="KJ20" s="184">
        <v>14997</v>
      </c>
      <c r="KK20" s="184">
        <v>30391</v>
      </c>
      <c r="KL20" s="184">
        <v>30391</v>
      </c>
      <c r="KM20" s="184">
        <v>124485</v>
      </c>
      <c r="KN20" s="184">
        <v>134011</v>
      </c>
      <c r="KO20" s="184">
        <v>140289</v>
      </c>
      <c r="KP20" s="184">
        <v>5036</v>
      </c>
      <c r="KQ20" s="184">
        <v>1347</v>
      </c>
      <c r="KR20" s="184">
        <v>1347</v>
      </c>
      <c r="KS20" s="184">
        <v>214357</v>
      </c>
      <c r="KT20" s="58" t="s">
        <v>160</v>
      </c>
      <c r="KU20" s="184">
        <v>4330235</v>
      </c>
      <c r="KV20" s="184">
        <v>239476</v>
      </c>
      <c r="KW20" s="184">
        <v>239476</v>
      </c>
      <c r="KX20" s="58" t="s">
        <v>160</v>
      </c>
      <c r="KY20" s="184">
        <v>135290</v>
      </c>
      <c r="KZ20" s="58" t="s">
        <v>160</v>
      </c>
    </row>
    <row r="21" spans="2:312" s="23" customFormat="1" ht="15" customHeight="1">
      <c r="B21" s="307"/>
      <c r="C21" s="127" t="s">
        <v>77</v>
      </c>
      <c r="D21" s="127" t="s">
        <v>78</v>
      </c>
      <c r="E21" s="308">
        <v>49769</v>
      </c>
      <c r="F21" s="308">
        <v>49769</v>
      </c>
      <c r="G21" s="308">
        <v>58712</v>
      </c>
      <c r="H21" s="308">
        <v>58712</v>
      </c>
      <c r="I21" s="308">
        <v>48972</v>
      </c>
      <c r="J21" s="308">
        <v>48972</v>
      </c>
      <c r="K21" s="308">
        <v>50292</v>
      </c>
      <c r="L21" s="308">
        <v>50292</v>
      </c>
      <c r="M21" s="308">
        <v>37270</v>
      </c>
      <c r="N21" s="308">
        <v>38304</v>
      </c>
      <c r="O21" s="308">
        <v>38304</v>
      </c>
      <c r="P21" s="308">
        <v>79085</v>
      </c>
      <c r="Q21" s="309" t="s">
        <v>160</v>
      </c>
      <c r="R21" s="309" t="s">
        <v>160</v>
      </c>
      <c r="S21" s="309" t="s">
        <v>160</v>
      </c>
      <c r="T21" s="309" t="s">
        <v>160</v>
      </c>
      <c r="U21" s="309" t="s">
        <v>160</v>
      </c>
      <c r="V21" s="309" t="s">
        <v>160</v>
      </c>
      <c r="W21" s="309" t="s">
        <v>160</v>
      </c>
      <c r="X21" s="309" t="s">
        <v>160</v>
      </c>
      <c r="Y21" s="309" t="s">
        <v>160</v>
      </c>
      <c r="Z21" s="309" t="s">
        <v>160</v>
      </c>
      <c r="AA21" s="308">
        <v>49769</v>
      </c>
      <c r="AB21" s="308">
        <v>49769</v>
      </c>
      <c r="AC21" s="308">
        <v>58712</v>
      </c>
      <c r="AD21" s="308">
        <v>58712</v>
      </c>
      <c r="AE21" s="308">
        <v>48972</v>
      </c>
      <c r="AF21" s="308">
        <v>48972</v>
      </c>
      <c r="AG21" s="308">
        <v>50292</v>
      </c>
      <c r="AH21" s="308">
        <v>50292</v>
      </c>
      <c r="AI21" s="308">
        <v>37270</v>
      </c>
      <c r="AJ21" s="308">
        <v>38304</v>
      </c>
      <c r="AK21" s="308">
        <v>38304</v>
      </c>
      <c r="AL21" s="308">
        <v>79085</v>
      </c>
      <c r="AM21" s="309" t="s">
        <v>160</v>
      </c>
      <c r="AN21" s="309" t="s">
        <v>160</v>
      </c>
      <c r="AO21" s="309" t="s">
        <v>160</v>
      </c>
      <c r="AP21" s="309" t="s">
        <v>160</v>
      </c>
      <c r="AQ21" s="309" t="s">
        <v>160</v>
      </c>
      <c r="AR21" s="309" t="s">
        <v>160</v>
      </c>
      <c r="AS21" s="309" t="s">
        <v>160</v>
      </c>
      <c r="AT21" s="309" t="s">
        <v>160</v>
      </c>
      <c r="AU21" s="309" t="s">
        <v>160</v>
      </c>
      <c r="AV21" s="309" t="s">
        <v>160</v>
      </c>
      <c r="AW21" s="308">
        <v>49769</v>
      </c>
      <c r="AX21" s="308">
        <v>49769</v>
      </c>
      <c r="AY21" s="308">
        <v>58712</v>
      </c>
      <c r="AZ21" s="308">
        <v>58712</v>
      </c>
      <c r="BA21" s="308">
        <v>48972</v>
      </c>
      <c r="BB21" s="308">
        <v>48972</v>
      </c>
      <c r="BC21" s="308">
        <v>50292</v>
      </c>
      <c r="BD21" s="308">
        <v>50292</v>
      </c>
      <c r="BE21" s="308">
        <v>37270</v>
      </c>
      <c r="BF21" s="308">
        <v>38304</v>
      </c>
      <c r="BG21" s="308">
        <v>38304</v>
      </c>
      <c r="BH21" s="308">
        <v>79085</v>
      </c>
      <c r="BI21" s="309" t="s">
        <v>160</v>
      </c>
      <c r="BJ21" s="309" t="s">
        <v>160</v>
      </c>
      <c r="BK21" s="309" t="s">
        <v>160</v>
      </c>
      <c r="BL21" s="309" t="s">
        <v>160</v>
      </c>
      <c r="BM21" s="309" t="s">
        <v>160</v>
      </c>
      <c r="BN21" s="309" t="s">
        <v>160</v>
      </c>
      <c r="BO21" s="309" t="s">
        <v>160</v>
      </c>
      <c r="BP21" s="309" t="s">
        <v>160</v>
      </c>
      <c r="BQ21" s="309" t="s">
        <v>160</v>
      </c>
      <c r="BR21" s="309" t="s">
        <v>160</v>
      </c>
      <c r="BS21" s="308">
        <v>49769</v>
      </c>
      <c r="BT21" s="308">
        <v>49769</v>
      </c>
      <c r="BU21" s="308">
        <v>58712</v>
      </c>
      <c r="BV21" s="308">
        <v>58712</v>
      </c>
      <c r="BW21" s="308">
        <v>48972</v>
      </c>
      <c r="BX21" s="308">
        <v>48972</v>
      </c>
      <c r="BY21" s="308">
        <v>50292</v>
      </c>
      <c r="BZ21" s="308">
        <v>50292</v>
      </c>
      <c r="CA21" s="308">
        <v>37270</v>
      </c>
      <c r="CB21" s="308">
        <v>38304</v>
      </c>
      <c r="CC21" s="308">
        <v>38304</v>
      </c>
      <c r="CD21" s="308">
        <v>79085</v>
      </c>
      <c r="CE21" s="309" t="s">
        <v>160</v>
      </c>
      <c r="CF21" s="309" t="s">
        <v>160</v>
      </c>
      <c r="CG21" s="309" t="s">
        <v>160</v>
      </c>
      <c r="CH21" s="309" t="s">
        <v>160</v>
      </c>
      <c r="CI21" s="309" t="s">
        <v>160</v>
      </c>
      <c r="CJ21" s="309" t="s">
        <v>160</v>
      </c>
      <c r="CK21" s="309" t="s">
        <v>160</v>
      </c>
      <c r="CL21" s="309" t="s">
        <v>160</v>
      </c>
      <c r="CM21" s="309" t="s">
        <v>160</v>
      </c>
      <c r="CN21" s="309" t="s">
        <v>160</v>
      </c>
      <c r="CO21" s="308">
        <v>49769</v>
      </c>
      <c r="CP21" s="308">
        <v>49769</v>
      </c>
      <c r="CQ21" s="308">
        <v>58712</v>
      </c>
      <c r="CR21" s="308">
        <v>58712</v>
      </c>
      <c r="CS21" s="308">
        <v>48972</v>
      </c>
      <c r="CT21" s="308">
        <v>48972</v>
      </c>
      <c r="CU21" s="308">
        <v>50292</v>
      </c>
      <c r="CV21" s="308">
        <v>50292</v>
      </c>
      <c r="CW21" s="308">
        <v>37270</v>
      </c>
      <c r="CX21" s="308">
        <v>38304</v>
      </c>
      <c r="CY21" s="308">
        <v>38304</v>
      </c>
      <c r="CZ21" s="308">
        <v>79085</v>
      </c>
      <c r="DA21" s="309" t="s">
        <v>160</v>
      </c>
      <c r="DB21" s="309" t="s">
        <v>160</v>
      </c>
      <c r="DC21" s="309" t="s">
        <v>160</v>
      </c>
      <c r="DD21" s="309" t="s">
        <v>160</v>
      </c>
      <c r="DE21" s="309" t="s">
        <v>160</v>
      </c>
      <c r="DF21" s="309" t="s">
        <v>160</v>
      </c>
      <c r="DG21" s="309" t="s">
        <v>160</v>
      </c>
      <c r="DH21" s="309" t="s">
        <v>160</v>
      </c>
      <c r="DI21" s="309" t="s">
        <v>160</v>
      </c>
      <c r="DJ21" s="309" t="s">
        <v>160</v>
      </c>
      <c r="DK21" s="308">
        <v>49769</v>
      </c>
      <c r="DL21" s="308">
        <v>49769</v>
      </c>
      <c r="DM21" s="308">
        <v>58712</v>
      </c>
      <c r="DN21" s="308">
        <v>58712</v>
      </c>
      <c r="DO21" s="308">
        <v>48972</v>
      </c>
      <c r="DP21" s="308">
        <v>48972</v>
      </c>
      <c r="DQ21" s="308">
        <v>50292</v>
      </c>
      <c r="DR21" s="308">
        <v>50292</v>
      </c>
      <c r="DS21" s="308">
        <v>37270</v>
      </c>
      <c r="DT21" s="308">
        <v>38304</v>
      </c>
      <c r="DU21" s="308">
        <v>38304</v>
      </c>
      <c r="DV21" s="308">
        <v>79085</v>
      </c>
      <c r="DW21" s="309" t="s">
        <v>160</v>
      </c>
      <c r="DX21" s="309" t="s">
        <v>160</v>
      </c>
      <c r="DY21" s="309" t="s">
        <v>160</v>
      </c>
      <c r="DZ21" s="309" t="s">
        <v>160</v>
      </c>
      <c r="EA21" s="309" t="s">
        <v>160</v>
      </c>
      <c r="EB21" s="309" t="s">
        <v>160</v>
      </c>
      <c r="EC21" s="309" t="s">
        <v>160</v>
      </c>
      <c r="ED21" s="309" t="s">
        <v>160</v>
      </c>
      <c r="EE21" s="309" t="s">
        <v>160</v>
      </c>
      <c r="EF21" s="309" t="s">
        <v>160</v>
      </c>
      <c r="EG21" s="308">
        <v>49769</v>
      </c>
      <c r="EH21" s="308">
        <v>49769</v>
      </c>
      <c r="EI21" s="308">
        <v>58712</v>
      </c>
      <c r="EJ21" s="308">
        <v>58712</v>
      </c>
      <c r="EK21" s="308">
        <v>48972</v>
      </c>
      <c r="EL21" s="308">
        <v>48972</v>
      </c>
      <c r="EM21" s="308">
        <v>50292</v>
      </c>
      <c r="EN21" s="308">
        <v>50292</v>
      </c>
      <c r="EO21" s="308">
        <v>37270</v>
      </c>
      <c r="EP21" s="308">
        <v>38304</v>
      </c>
      <c r="EQ21" s="308">
        <v>38304</v>
      </c>
      <c r="ER21" s="308">
        <v>79085</v>
      </c>
      <c r="ES21" s="309" t="s">
        <v>160</v>
      </c>
      <c r="ET21" s="309" t="s">
        <v>160</v>
      </c>
      <c r="EU21" s="309" t="s">
        <v>160</v>
      </c>
      <c r="EV21" s="309" t="s">
        <v>160</v>
      </c>
      <c r="EW21" s="309" t="s">
        <v>160</v>
      </c>
      <c r="EX21" s="309" t="s">
        <v>160</v>
      </c>
      <c r="EY21" s="309" t="s">
        <v>160</v>
      </c>
      <c r="EZ21" s="309" t="s">
        <v>160</v>
      </c>
      <c r="FA21" s="309" t="s">
        <v>160</v>
      </c>
      <c r="FB21" s="309" t="s">
        <v>160</v>
      </c>
      <c r="FC21" s="308">
        <v>49769</v>
      </c>
      <c r="FD21" s="308">
        <v>49769</v>
      </c>
      <c r="FE21" s="308">
        <v>58712</v>
      </c>
      <c r="FF21" s="308">
        <v>58712</v>
      </c>
      <c r="FG21" s="308">
        <v>48972</v>
      </c>
      <c r="FH21" s="308">
        <v>48972</v>
      </c>
      <c r="FI21" s="308">
        <v>50292</v>
      </c>
      <c r="FJ21" s="308">
        <v>50292</v>
      </c>
      <c r="FK21" s="308">
        <v>37270</v>
      </c>
      <c r="FL21" s="308">
        <v>38304</v>
      </c>
      <c r="FM21" s="308">
        <v>38304</v>
      </c>
      <c r="FN21" s="308">
        <v>79085</v>
      </c>
      <c r="FO21" s="309" t="s">
        <v>160</v>
      </c>
      <c r="FP21" s="309" t="s">
        <v>160</v>
      </c>
      <c r="FQ21" s="309" t="s">
        <v>160</v>
      </c>
      <c r="FR21" s="309" t="s">
        <v>160</v>
      </c>
      <c r="FS21" s="309" t="s">
        <v>160</v>
      </c>
      <c r="FT21" s="309" t="s">
        <v>160</v>
      </c>
      <c r="FU21" s="309" t="s">
        <v>160</v>
      </c>
      <c r="FV21" s="309" t="s">
        <v>160</v>
      </c>
      <c r="FW21" s="309" t="s">
        <v>160</v>
      </c>
      <c r="FX21" s="309" t="s">
        <v>160</v>
      </c>
      <c r="FY21" s="308">
        <v>49769</v>
      </c>
      <c r="FZ21" s="308">
        <v>49769</v>
      </c>
      <c r="GA21" s="308">
        <v>58712</v>
      </c>
      <c r="GB21" s="308">
        <v>58712</v>
      </c>
      <c r="GC21" s="308">
        <v>48972</v>
      </c>
      <c r="GD21" s="308">
        <v>48972</v>
      </c>
      <c r="GE21" s="308">
        <v>50292</v>
      </c>
      <c r="GF21" s="308">
        <v>50292</v>
      </c>
      <c r="GG21" s="308">
        <v>37270</v>
      </c>
      <c r="GH21" s="308">
        <v>38304</v>
      </c>
      <c r="GI21" s="308">
        <v>38304</v>
      </c>
      <c r="GJ21" s="308">
        <v>79085</v>
      </c>
      <c r="GK21" s="309" t="s">
        <v>160</v>
      </c>
      <c r="GL21" s="309" t="s">
        <v>160</v>
      </c>
      <c r="GM21" s="309" t="s">
        <v>160</v>
      </c>
      <c r="GN21" s="309" t="s">
        <v>160</v>
      </c>
      <c r="GO21" s="309" t="s">
        <v>160</v>
      </c>
      <c r="GP21" s="309" t="s">
        <v>160</v>
      </c>
      <c r="GQ21" s="309" t="s">
        <v>160</v>
      </c>
      <c r="GR21" s="309" t="s">
        <v>160</v>
      </c>
      <c r="GS21" s="309" t="s">
        <v>160</v>
      </c>
      <c r="GT21" s="309" t="s">
        <v>160</v>
      </c>
      <c r="GU21" s="308">
        <v>49769</v>
      </c>
      <c r="GV21" s="308">
        <v>49769</v>
      </c>
      <c r="GW21" s="308">
        <v>58712</v>
      </c>
      <c r="GX21" s="308">
        <v>58712</v>
      </c>
      <c r="GY21" s="308">
        <v>48972</v>
      </c>
      <c r="GZ21" s="308">
        <v>48972</v>
      </c>
      <c r="HA21" s="308">
        <v>50292</v>
      </c>
      <c r="HB21" s="308">
        <v>50292</v>
      </c>
      <c r="HC21" s="308">
        <v>37270</v>
      </c>
      <c r="HD21" s="308">
        <v>38304</v>
      </c>
      <c r="HE21" s="308">
        <v>38304</v>
      </c>
      <c r="HF21" s="308">
        <v>79085</v>
      </c>
      <c r="HG21" s="309" t="s">
        <v>160</v>
      </c>
      <c r="HH21" s="309" t="s">
        <v>160</v>
      </c>
      <c r="HI21" s="309" t="s">
        <v>160</v>
      </c>
      <c r="HJ21" s="309" t="s">
        <v>160</v>
      </c>
      <c r="HK21" s="309" t="s">
        <v>160</v>
      </c>
      <c r="HL21" s="309" t="s">
        <v>160</v>
      </c>
      <c r="HM21" s="309" t="s">
        <v>160</v>
      </c>
      <c r="HN21" s="309" t="s">
        <v>160</v>
      </c>
      <c r="HO21" s="309" t="s">
        <v>160</v>
      </c>
      <c r="HP21" s="309" t="s">
        <v>160</v>
      </c>
      <c r="HQ21" s="308">
        <v>49769</v>
      </c>
      <c r="HR21" s="308">
        <v>49769</v>
      </c>
      <c r="HS21" s="308">
        <v>58712</v>
      </c>
      <c r="HT21" s="308">
        <v>58712</v>
      </c>
      <c r="HU21" s="308">
        <v>48972</v>
      </c>
      <c r="HV21" s="308">
        <v>48972</v>
      </c>
      <c r="HW21" s="308">
        <v>50292</v>
      </c>
      <c r="HX21" s="308">
        <v>50292</v>
      </c>
      <c r="HY21" s="308">
        <v>37270</v>
      </c>
      <c r="HZ21" s="308">
        <v>38304</v>
      </c>
      <c r="IA21" s="308">
        <v>38304</v>
      </c>
      <c r="IB21" s="308">
        <v>79085</v>
      </c>
      <c r="IC21" s="309" t="s">
        <v>160</v>
      </c>
      <c r="ID21" s="309" t="s">
        <v>160</v>
      </c>
      <c r="IE21" s="309" t="s">
        <v>160</v>
      </c>
      <c r="IF21" s="309" t="s">
        <v>160</v>
      </c>
      <c r="IG21" s="309" t="s">
        <v>160</v>
      </c>
      <c r="IH21" s="309" t="s">
        <v>160</v>
      </c>
      <c r="II21" s="309" t="s">
        <v>160</v>
      </c>
      <c r="IJ21" s="309" t="s">
        <v>160</v>
      </c>
      <c r="IK21" s="309" t="s">
        <v>160</v>
      </c>
      <c r="IL21" s="309" t="s">
        <v>160</v>
      </c>
      <c r="IM21" s="308">
        <v>49769</v>
      </c>
      <c r="IN21" s="308">
        <v>49769</v>
      </c>
      <c r="IO21" s="308">
        <v>58712</v>
      </c>
      <c r="IP21" s="308">
        <v>58712</v>
      </c>
      <c r="IQ21" s="308">
        <v>48972</v>
      </c>
      <c r="IR21" s="308">
        <v>48972</v>
      </c>
      <c r="IS21" s="308">
        <v>50292</v>
      </c>
      <c r="IT21" s="308">
        <v>50292</v>
      </c>
      <c r="IU21" s="308">
        <v>37270</v>
      </c>
      <c r="IV21" s="308">
        <v>38304</v>
      </c>
      <c r="IW21" s="308">
        <v>38304</v>
      </c>
      <c r="IX21" s="308">
        <v>79085</v>
      </c>
      <c r="IY21" s="309" t="s">
        <v>160</v>
      </c>
      <c r="IZ21" s="309" t="s">
        <v>160</v>
      </c>
      <c r="JA21" s="309" t="s">
        <v>160</v>
      </c>
      <c r="JB21" s="309" t="s">
        <v>160</v>
      </c>
      <c r="JC21" s="309" t="s">
        <v>160</v>
      </c>
      <c r="JD21" s="309" t="s">
        <v>160</v>
      </c>
      <c r="JE21" s="309" t="s">
        <v>160</v>
      </c>
      <c r="JF21" s="309" t="s">
        <v>160</v>
      </c>
      <c r="JG21" s="309" t="s">
        <v>160</v>
      </c>
      <c r="JH21" s="309" t="s">
        <v>160</v>
      </c>
      <c r="JI21" s="308">
        <v>49769</v>
      </c>
      <c r="JJ21" s="308">
        <v>49769</v>
      </c>
      <c r="JK21" s="308">
        <v>58712</v>
      </c>
      <c r="JL21" s="308">
        <v>58712</v>
      </c>
      <c r="JM21" s="308">
        <v>48972</v>
      </c>
      <c r="JN21" s="308">
        <v>48972</v>
      </c>
      <c r="JO21" s="308">
        <v>50292</v>
      </c>
      <c r="JP21" s="308">
        <v>50292</v>
      </c>
      <c r="JQ21" s="308">
        <v>37270</v>
      </c>
      <c r="JR21" s="308">
        <v>38304</v>
      </c>
      <c r="JS21" s="308">
        <v>38304</v>
      </c>
      <c r="JT21" s="308">
        <v>79085</v>
      </c>
      <c r="JU21" s="309" t="s">
        <v>160</v>
      </c>
      <c r="JV21" s="309" t="s">
        <v>160</v>
      </c>
      <c r="JW21" s="309" t="s">
        <v>160</v>
      </c>
      <c r="JX21" s="309" t="s">
        <v>160</v>
      </c>
      <c r="JY21" s="309" t="s">
        <v>160</v>
      </c>
      <c r="JZ21" s="309" t="s">
        <v>160</v>
      </c>
      <c r="KA21" s="309" t="s">
        <v>160</v>
      </c>
      <c r="KB21" s="309" t="s">
        <v>160</v>
      </c>
      <c r="KC21" s="309" t="s">
        <v>160</v>
      </c>
      <c r="KD21" s="309" t="s">
        <v>160</v>
      </c>
      <c r="KE21" s="308">
        <v>49769</v>
      </c>
      <c r="KF21" s="308">
        <v>49769</v>
      </c>
      <c r="KG21" s="308">
        <v>58712</v>
      </c>
      <c r="KH21" s="308">
        <v>58712</v>
      </c>
      <c r="KI21" s="308">
        <v>48972</v>
      </c>
      <c r="KJ21" s="308">
        <v>48972</v>
      </c>
      <c r="KK21" s="308">
        <v>50292</v>
      </c>
      <c r="KL21" s="308">
        <v>50292</v>
      </c>
      <c r="KM21" s="308">
        <v>37270</v>
      </c>
      <c r="KN21" s="308">
        <v>38304</v>
      </c>
      <c r="KO21" s="308">
        <v>38304</v>
      </c>
      <c r="KP21" s="308">
        <v>79085</v>
      </c>
      <c r="KQ21" s="309" t="s">
        <v>160</v>
      </c>
      <c r="KR21" s="309" t="s">
        <v>160</v>
      </c>
      <c r="KS21" s="309" t="s">
        <v>160</v>
      </c>
      <c r="KT21" s="309" t="s">
        <v>160</v>
      </c>
      <c r="KU21" s="309" t="s">
        <v>160</v>
      </c>
      <c r="KV21" s="309" t="s">
        <v>160</v>
      </c>
      <c r="KW21" s="309" t="s">
        <v>160</v>
      </c>
      <c r="KX21" s="309" t="s">
        <v>160</v>
      </c>
      <c r="KY21" s="309" t="s">
        <v>160</v>
      </c>
      <c r="KZ21" s="309" t="s">
        <v>160</v>
      </c>
    </row>
    <row r="22" spans="2:312" s="23" customFormat="1" ht="15" customHeight="1">
      <c r="B22" s="346" t="s">
        <v>79</v>
      </c>
      <c r="C22" s="85" t="s">
        <v>80</v>
      </c>
      <c r="D22" s="85" t="s">
        <v>161</v>
      </c>
      <c r="E22" s="331">
        <v>28</v>
      </c>
      <c r="F22" s="331">
        <v>28</v>
      </c>
      <c r="G22" s="331">
        <v>38</v>
      </c>
      <c r="H22" s="331">
        <v>38</v>
      </c>
      <c r="I22" s="331">
        <v>28</v>
      </c>
      <c r="J22" s="331">
        <v>28</v>
      </c>
      <c r="K22" s="331">
        <v>25</v>
      </c>
      <c r="L22" s="331">
        <v>25</v>
      </c>
      <c r="M22" s="331">
        <v>60</v>
      </c>
      <c r="N22" s="331">
        <v>25</v>
      </c>
      <c r="O22" s="331">
        <v>27</v>
      </c>
      <c r="P22" s="206">
        <v>2.5</v>
      </c>
      <c r="Q22" s="206">
        <v>3</v>
      </c>
      <c r="R22" s="206">
        <v>3</v>
      </c>
      <c r="S22" s="207" t="s">
        <v>160</v>
      </c>
      <c r="T22" s="207" t="s">
        <v>160</v>
      </c>
      <c r="U22" s="207" t="s">
        <v>160</v>
      </c>
      <c r="V22" s="207" t="s">
        <v>160</v>
      </c>
      <c r="W22" s="207" t="s">
        <v>160</v>
      </c>
      <c r="X22" s="207" t="s">
        <v>160</v>
      </c>
      <c r="Y22" s="207" t="s">
        <v>160</v>
      </c>
      <c r="Z22" s="207" t="s">
        <v>160</v>
      </c>
      <c r="AA22" s="206">
        <v>24</v>
      </c>
      <c r="AB22" s="206">
        <v>24</v>
      </c>
      <c r="AC22" s="206">
        <v>61</v>
      </c>
      <c r="AD22" s="206">
        <v>61</v>
      </c>
      <c r="AE22" s="206">
        <v>28</v>
      </c>
      <c r="AF22" s="206">
        <v>28</v>
      </c>
      <c r="AG22" s="206">
        <v>25</v>
      </c>
      <c r="AH22" s="206">
        <v>25</v>
      </c>
      <c r="AI22" s="206">
        <v>58</v>
      </c>
      <c r="AJ22" s="206">
        <v>25</v>
      </c>
      <c r="AK22" s="331">
        <v>27</v>
      </c>
      <c r="AL22" s="206">
        <v>4.0999999999999996</v>
      </c>
      <c r="AM22" s="206">
        <v>4</v>
      </c>
      <c r="AN22" s="206">
        <v>4</v>
      </c>
      <c r="AO22" s="207" t="s">
        <v>160</v>
      </c>
      <c r="AP22" s="207" t="s">
        <v>160</v>
      </c>
      <c r="AQ22" s="207" t="s">
        <v>160</v>
      </c>
      <c r="AR22" s="207" t="s">
        <v>160</v>
      </c>
      <c r="AS22" s="207" t="s">
        <v>160</v>
      </c>
      <c r="AT22" s="207" t="s">
        <v>160</v>
      </c>
      <c r="AU22" s="207" t="s">
        <v>160</v>
      </c>
      <c r="AV22" s="207" t="s">
        <v>160</v>
      </c>
      <c r="AW22" s="331">
        <v>26</v>
      </c>
      <c r="AX22" s="331">
        <v>26</v>
      </c>
      <c r="AY22" s="331">
        <v>56</v>
      </c>
      <c r="AZ22" s="331">
        <v>56</v>
      </c>
      <c r="BA22" s="331">
        <v>28</v>
      </c>
      <c r="BB22" s="331">
        <v>28</v>
      </c>
      <c r="BC22" s="331">
        <v>25</v>
      </c>
      <c r="BD22" s="331">
        <v>25</v>
      </c>
      <c r="BE22" s="331">
        <v>59</v>
      </c>
      <c r="BF22" s="331">
        <v>25</v>
      </c>
      <c r="BG22" s="331">
        <v>27</v>
      </c>
      <c r="BH22" s="206">
        <v>2.5</v>
      </c>
      <c r="BI22" s="206">
        <v>3</v>
      </c>
      <c r="BJ22" s="206">
        <v>3</v>
      </c>
      <c r="BK22" s="207" t="s">
        <v>160</v>
      </c>
      <c r="BL22" s="207" t="s">
        <v>160</v>
      </c>
      <c r="BM22" s="207" t="s">
        <v>160</v>
      </c>
      <c r="BN22" s="207" t="s">
        <v>160</v>
      </c>
      <c r="BO22" s="207" t="s">
        <v>160</v>
      </c>
      <c r="BP22" s="207" t="s">
        <v>160</v>
      </c>
      <c r="BQ22" s="207" t="s">
        <v>160</v>
      </c>
      <c r="BR22" s="207" t="s">
        <v>160</v>
      </c>
      <c r="BS22" s="206">
        <v>19</v>
      </c>
      <c r="BT22" s="206">
        <v>19</v>
      </c>
      <c r="BU22" s="205">
        <v>38</v>
      </c>
      <c r="BV22" s="205">
        <v>38</v>
      </c>
      <c r="BW22" s="331">
        <v>28</v>
      </c>
      <c r="BX22" s="331">
        <v>28</v>
      </c>
      <c r="BY22" s="331">
        <v>25</v>
      </c>
      <c r="BZ22" s="331">
        <v>25</v>
      </c>
      <c r="CA22" s="331">
        <v>59</v>
      </c>
      <c r="CB22" s="331">
        <v>25</v>
      </c>
      <c r="CC22" s="331">
        <v>27</v>
      </c>
      <c r="CD22" s="206">
        <v>2.5</v>
      </c>
      <c r="CE22" s="206">
        <v>3</v>
      </c>
      <c r="CF22" s="206">
        <v>3</v>
      </c>
      <c r="CG22" s="207" t="s">
        <v>160</v>
      </c>
      <c r="CH22" s="207" t="s">
        <v>160</v>
      </c>
      <c r="CI22" s="207" t="s">
        <v>160</v>
      </c>
      <c r="CJ22" s="207" t="s">
        <v>160</v>
      </c>
      <c r="CK22" s="207" t="s">
        <v>160</v>
      </c>
      <c r="CL22" s="207" t="s">
        <v>160</v>
      </c>
      <c r="CM22" s="207" t="s">
        <v>160</v>
      </c>
      <c r="CN22" s="207" t="s">
        <v>160</v>
      </c>
      <c r="CO22" s="206">
        <v>36</v>
      </c>
      <c r="CP22" s="206">
        <v>36</v>
      </c>
      <c r="CQ22" s="206">
        <v>65</v>
      </c>
      <c r="CR22" s="206">
        <v>65</v>
      </c>
      <c r="CS22" s="206">
        <v>28</v>
      </c>
      <c r="CT22" s="206">
        <v>28</v>
      </c>
      <c r="CU22" s="206">
        <v>25</v>
      </c>
      <c r="CV22" s="206">
        <v>25</v>
      </c>
      <c r="CW22" s="206">
        <v>60</v>
      </c>
      <c r="CX22" s="206">
        <v>25</v>
      </c>
      <c r="CY22" s="331">
        <v>27</v>
      </c>
      <c r="CZ22" s="206">
        <v>4.4000000000000004</v>
      </c>
      <c r="DA22" s="206">
        <v>4</v>
      </c>
      <c r="DB22" s="206">
        <v>4</v>
      </c>
      <c r="DC22" s="207" t="s">
        <v>160</v>
      </c>
      <c r="DD22" s="207" t="s">
        <v>160</v>
      </c>
      <c r="DE22" s="207" t="s">
        <v>160</v>
      </c>
      <c r="DF22" s="207" t="s">
        <v>160</v>
      </c>
      <c r="DG22" s="207" t="s">
        <v>160</v>
      </c>
      <c r="DH22" s="207" t="s">
        <v>160</v>
      </c>
      <c r="DI22" s="207" t="s">
        <v>160</v>
      </c>
      <c r="DJ22" s="207" t="s">
        <v>160</v>
      </c>
      <c r="DK22" s="331">
        <v>25</v>
      </c>
      <c r="DL22" s="331">
        <v>25</v>
      </c>
      <c r="DM22" s="331">
        <v>67</v>
      </c>
      <c r="DN22" s="331">
        <v>67</v>
      </c>
      <c r="DO22" s="331">
        <v>28</v>
      </c>
      <c r="DP22" s="331">
        <v>28</v>
      </c>
      <c r="DQ22" s="331">
        <v>25</v>
      </c>
      <c r="DR22" s="331">
        <v>25</v>
      </c>
      <c r="DS22" s="331">
        <v>60</v>
      </c>
      <c r="DT22" s="331">
        <v>25</v>
      </c>
      <c r="DU22" s="331">
        <v>27</v>
      </c>
      <c r="DV22" s="206">
        <v>2.5</v>
      </c>
      <c r="DW22" s="206">
        <v>3</v>
      </c>
      <c r="DX22" s="206">
        <v>3</v>
      </c>
      <c r="DY22" s="207" t="s">
        <v>160</v>
      </c>
      <c r="DZ22" s="207" t="s">
        <v>160</v>
      </c>
      <c r="EA22" s="207" t="s">
        <v>160</v>
      </c>
      <c r="EB22" s="207" t="s">
        <v>160</v>
      </c>
      <c r="EC22" s="207" t="s">
        <v>160</v>
      </c>
      <c r="ED22" s="207" t="s">
        <v>160</v>
      </c>
      <c r="EE22" s="207" t="s">
        <v>160</v>
      </c>
      <c r="EF22" s="207" t="s">
        <v>160</v>
      </c>
      <c r="EG22" s="331">
        <v>25</v>
      </c>
      <c r="EH22" s="331">
        <v>25</v>
      </c>
      <c r="EI22" s="331">
        <v>58</v>
      </c>
      <c r="EJ22" s="331">
        <v>58</v>
      </c>
      <c r="EK22" s="331">
        <v>28</v>
      </c>
      <c r="EL22" s="331">
        <v>28</v>
      </c>
      <c r="EM22" s="331">
        <v>25</v>
      </c>
      <c r="EN22" s="331">
        <v>25</v>
      </c>
      <c r="EO22" s="331">
        <v>60</v>
      </c>
      <c r="EP22" s="206">
        <v>25</v>
      </c>
      <c r="EQ22" s="331">
        <v>27</v>
      </c>
      <c r="ER22" s="206">
        <v>2.5</v>
      </c>
      <c r="ES22" s="205">
        <v>3</v>
      </c>
      <c r="ET22" s="205">
        <v>3</v>
      </c>
      <c r="EU22" s="207" t="s">
        <v>160</v>
      </c>
      <c r="EV22" s="207" t="s">
        <v>160</v>
      </c>
      <c r="EW22" s="207" t="s">
        <v>160</v>
      </c>
      <c r="EX22" s="207" t="s">
        <v>160</v>
      </c>
      <c r="EY22" s="207" t="s">
        <v>160</v>
      </c>
      <c r="EZ22" s="207" t="s">
        <v>160</v>
      </c>
      <c r="FA22" s="207" t="s">
        <v>160</v>
      </c>
      <c r="FB22" s="207" t="s">
        <v>160</v>
      </c>
      <c r="FC22" s="205">
        <v>17</v>
      </c>
      <c r="FD22" s="205">
        <v>17</v>
      </c>
      <c r="FE22" s="205">
        <v>68</v>
      </c>
      <c r="FF22" s="205">
        <v>68</v>
      </c>
      <c r="FG22" s="205">
        <v>27</v>
      </c>
      <c r="FH22" s="205">
        <v>27</v>
      </c>
      <c r="FI22" s="205">
        <v>24</v>
      </c>
      <c r="FJ22" s="205">
        <v>24</v>
      </c>
      <c r="FK22" s="331">
        <v>59</v>
      </c>
      <c r="FL22" s="331" t="s">
        <v>160</v>
      </c>
      <c r="FM22" s="331">
        <v>27</v>
      </c>
      <c r="FN22" s="206">
        <v>2.5</v>
      </c>
      <c r="FO22" s="206">
        <v>3</v>
      </c>
      <c r="FP22" s="206">
        <v>3</v>
      </c>
      <c r="FQ22" s="207" t="s">
        <v>160</v>
      </c>
      <c r="FR22" s="207" t="s">
        <v>160</v>
      </c>
      <c r="FS22" s="207" t="s">
        <v>160</v>
      </c>
      <c r="FT22" s="207" t="s">
        <v>160</v>
      </c>
      <c r="FU22" s="207" t="s">
        <v>160</v>
      </c>
      <c r="FV22" s="207" t="s">
        <v>160</v>
      </c>
      <c r="FW22" s="207" t="s">
        <v>160</v>
      </c>
      <c r="FX22" s="207" t="s">
        <v>160</v>
      </c>
      <c r="FY22" s="206">
        <v>24</v>
      </c>
      <c r="FZ22" s="206">
        <v>24</v>
      </c>
      <c r="GA22" s="206">
        <v>61</v>
      </c>
      <c r="GB22" s="206">
        <v>61</v>
      </c>
      <c r="GC22" s="206">
        <v>28</v>
      </c>
      <c r="GD22" s="206">
        <v>28</v>
      </c>
      <c r="GE22" s="331">
        <v>25</v>
      </c>
      <c r="GF22" s="206">
        <v>25</v>
      </c>
      <c r="GG22" s="206">
        <v>58</v>
      </c>
      <c r="GH22" s="206">
        <v>25</v>
      </c>
      <c r="GI22" s="331">
        <v>27</v>
      </c>
      <c r="GJ22" s="206">
        <v>4.0999999999999996</v>
      </c>
      <c r="GK22" s="206">
        <v>4</v>
      </c>
      <c r="GL22" s="206">
        <v>4</v>
      </c>
      <c r="GM22" s="207" t="s">
        <v>160</v>
      </c>
      <c r="GN22" s="207" t="s">
        <v>160</v>
      </c>
      <c r="GO22" s="207" t="s">
        <v>160</v>
      </c>
      <c r="GP22" s="207" t="s">
        <v>160</v>
      </c>
      <c r="GQ22" s="207" t="s">
        <v>160</v>
      </c>
      <c r="GR22" s="207" t="s">
        <v>160</v>
      </c>
      <c r="GS22" s="207" t="s">
        <v>160</v>
      </c>
      <c r="GT22" s="207" t="s">
        <v>160</v>
      </c>
      <c r="GU22" s="331">
        <v>25</v>
      </c>
      <c r="GV22" s="331">
        <v>25</v>
      </c>
      <c r="GW22" s="331">
        <v>54</v>
      </c>
      <c r="GX22" s="331">
        <v>54</v>
      </c>
      <c r="GY22" s="331">
        <v>28</v>
      </c>
      <c r="GZ22" s="331">
        <v>28</v>
      </c>
      <c r="HA22" s="331">
        <v>25</v>
      </c>
      <c r="HB22" s="331">
        <v>25</v>
      </c>
      <c r="HC22" s="331">
        <v>59</v>
      </c>
      <c r="HD22" s="206">
        <v>25</v>
      </c>
      <c r="HE22" s="331">
        <v>27</v>
      </c>
      <c r="HF22" s="206">
        <v>2.5</v>
      </c>
      <c r="HG22" s="206">
        <v>3</v>
      </c>
      <c r="HH22" s="206">
        <v>3</v>
      </c>
      <c r="HI22" s="207" t="s">
        <v>160</v>
      </c>
      <c r="HJ22" s="207" t="s">
        <v>160</v>
      </c>
      <c r="HK22" s="207" t="s">
        <v>160</v>
      </c>
      <c r="HL22" s="207" t="s">
        <v>160</v>
      </c>
      <c r="HM22" s="207" t="s">
        <v>160</v>
      </c>
      <c r="HN22" s="207" t="s">
        <v>160</v>
      </c>
      <c r="HO22" s="207" t="s">
        <v>160</v>
      </c>
      <c r="HP22" s="207" t="s">
        <v>160</v>
      </c>
      <c r="HQ22" s="206">
        <v>19</v>
      </c>
      <c r="HR22" s="206">
        <v>19</v>
      </c>
      <c r="HS22" s="205">
        <v>38</v>
      </c>
      <c r="HT22" s="205">
        <v>38</v>
      </c>
      <c r="HU22" s="331">
        <v>28</v>
      </c>
      <c r="HV22" s="331">
        <v>28</v>
      </c>
      <c r="HW22" s="331">
        <v>25</v>
      </c>
      <c r="HX22" s="331">
        <v>25</v>
      </c>
      <c r="HY22" s="331">
        <v>59</v>
      </c>
      <c r="HZ22" s="206">
        <v>25</v>
      </c>
      <c r="IA22" s="331">
        <v>27</v>
      </c>
      <c r="IB22" s="206">
        <v>2.5</v>
      </c>
      <c r="IC22" s="206">
        <v>3</v>
      </c>
      <c r="ID22" s="206">
        <v>3</v>
      </c>
      <c r="IE22" s="207" t="s">
        <v>160</v>
      </c>
      <c r="IF22" s="207" t="s">
        <v>160</v>
      </c>
      <c r="IG22" s="207" t="s">
        <v>160</v>
      </c>
      <c r="IH22" s="207" t="s">
        <v>160</v>
      </c>
      <c r="II22" s="207" t="s">
        <v>160</v>
      </c>
      <c r="IJ22" s="207" t="s">
        <v>160</v>
      </c>
      <c r="IK22" s="207" t="s">
        <v>160</v>
      </c>
      <c r="IL22" s="207" t="s">
        <v>160</v>
      </c>
      <c r="IM22" s="206">
        <v>24</v>
      </c>
      <c r="IN22" s="206">
        <v>24</v>
      </c>
      <c r="IO22" s="206">
        <v>61</v>
      </c>
      <c r="IP22" s="206">
        <v>61</v>
      </c>
      <c r="IQ22" s="206">
        <v>28</v>
      </c>
      <c r="IR22" s="206">
        <v>28</v>
      </c>
      <c r="IS22" s="206">
        <v>25</v>
      </c>
      <c r="IT22" s="206">
        <v>25</v>
      </c>
      <c r="IU22" s="206">
        <v>58</v>
      </c>
      <c r="IV22" s="206">
        <v>25</v>
      </c>
      <c r="IW22" s="331">
        <v>27</v>
      </c>
      <c r="IX22" s="206">
        <v>4.0999999999999996</v>
      </c>
      <c r="IY22" s="206">
        <v>4</v>
      </c>
      <c r="IZ22" s="206">
        <v>4</v>
      </c>
      <c r="JA22" s="207" t="s">
        <v>160</v>
      </c>
      <c r="JB22" s="207" t="s">
        <v>160</v>
      </c>
      <c r="JC22" s="207" t="s">
        <v>160</v>
      </c>
      <c r="JD22" s="207" t="s">
        <v>160</v>
      </c>
      <c r="JE22" s="207" t="s">
        <v>160</v>
      </c>
      <c r="JF22" s="207" t="s">
        <v>160</v>
      </c>
      <c r="JG22" s="207" t="s">
        <v>160</v>
      </c>
      <c r="JH22" s="207" t="s">
        <v>160</v>
      </c>
      <c r="JI22" s="331">
        <v>36</v>
      </c>
      <c r="JJ22" s="331">
        <v>36</v>
      </c>
      <c r="JK22" s="331">
        <v>67</v>
      </c>
      <c r="JL22" s="331">
        <v>67</v>
      </c>
      <c r="JM22" s="331">
        <v>28</v>
      </c>
      <c r="JN22" s="331">
        <v>28</v>
      </c>
      <c r="JO22" s="331">
        <v>25</v>
      </c>
      <c r="JP22" s="331">
        <v>25</v>
      </c>
      <c r="JQ22" s="331">
        <v>60</v>
      </c>
      <c r="JR22" s="331">
        <v>25</v>
      </c>
      <c r="JS22" s="331">
        <v>27</v>
      </c>
      <c r="JT22" s="206">
        <v>2.5</v>
      </c>
      <c r="JU22" s="206">
        <v>3</v>
      </c>
      <c r="JV22" s="206">
        <v>3</v>
      </c>
      <c r="JW22" s="207" t="s">
        <v>160</v>
      </c>
      <c r="JX22" s="207" t="s">
        <v>160</v>
      </c>
      <c r="JY22" s="207" t="s">
        <v>160</v>
      </c>
      <c r="JZ22" s="207" t="s">
        <v>160</v>
      </c>
      <c r="KA22" s="207" t="s">
        <v>160</v>
      </c>
      <c r="KB22" s="207" t="s">
        <v>160</v>
      </c>
      <c r="KC22" s="207" t="s">
        <v>160</v>
      </c>
      <c r="KD22" s="207" t="s">
        <v>160</v>
      </c>
      <c r="KE22" s="331">
        <v>26</v>
      </c>
      <c r="KF22" s="331">
        <v>26</v>
      </c>
      <c r="KG22" s="331">
        <v>56</v>
      </c>
      <c r="KH22" s="331">
        <v>56</v>
      </c>
      <c r="KI22" s="331">
        <v>28</v>
      </c>
      <c r="KJ22" s="331">
        <v>28</v>
      </c>
      <c r="KK22" s="331">
        <v>25</v>
      </c>
      <c r="KL22" s="331">
        <v>25</v>
      </c>
      <c r="KM22" s="331">
        <v>59</v>
      </c>
      <c r="KN22" s="331">
        <v>25</v>
      </c>
      <c r="KO22" s="331">
        <v>27</v>
      </c>
      <c r="KP22" s="206">
        <v>2.5</v>
      </c>
      <c r="KQ22" s="206">
        <v>3</v>
      </c>
      <c r="KR22" s="206">
        <v>3</v>
      </c>
      <c r="KS22" s="207" t="s">
        <v>160</v>
      </c>
      <c r="KT22" s="207" t="s">
        <v>160</v>
      </c>
      <c r="KU22" s="207" t="s">
        <v>160</v>
      </c>
      <c r="KV22" s="207" t="s">
        <v>160</v>
      </c>
      <c r="KW22" s="207" t="s">
        <v>160</v>
      </c>
      <c r="KX22" s="207" t="s">
        <v>160</v>
      </c>
      <c r="KY22" s="207" t="s">
        <v>160</v>
      </c>
      <c r="KZ22" s="207" t="s">
        <v>160</v>
      </c>
    </row>
    <row r="23" spans="2:312" s="23" customFormat="1">
      <c r="B23" s="345"/>
      <c r="C23" s="23" t="s">
        <v>82</v>
      </c>
      <c r="D23" s="23" t="s">
        <v>161</v>
      </c>
      <c r="E23" s="332">
        <v>2.2999999999999998</v>
      </c>
      <c r="F23" s="332">
        <v>2.2999999999999998</v>
      </c>
      <c r="G23" s="332">
        <v>1.3</v>
      </c>
      <c r="H23" s="332">
        <v>1.3</v>
      </c>
      <c r="I23" s="332">
        <v>2</v>
      </c>
      <c r="J23" s="332">
        <v>2</v>
      </c>
      <c r="K23" s="332">
        <v>1.5</v>
      </c>
      <c r="L23" s="332">
        <v>1.5</v>
      </c>
      <c r="M23" s="332">
        <v>2.4</v>
      </c>
      <c r="N23" s="332">
        <v>0.5</v>
      </c>
      <c r="O23" s="332">
        <v>0.5</v>
      </c>
      <c r="P23" s="208">
        <v>0.1</v>
      </c>
      <c r="Q23" s="208">
        <v>0.1</v>
      </c>
      <c r="R23" s="208">
        <v>0.1</v>
      </c>
      <c r="S23" s="209" t="s">
        <v>160</v>
      </c>
      <c r="T23" s="209" t="s">
        <v>160</v>
      </c>
      <c r="U23" s="209" t="s">
        <v>160</v>
      </c>
      <c r="V23" s="209" t="s">
        <v>160</v>
      </c>
      <c r="W23" s="209" t="s">
        <v>160</v>
      </c>
      <c r="X23" s="209" t="s">
        <v>160</v>
      </c>
      <c r="Y23" s="209" t="s">
        <v>160</v>
      </c>
      <c r="Z23" s="209" t="s">
        <v>160</v>
      </c>
      <c r="AA23" s="208">
        <v>2.7</v>
      </c>
      <c r="AB23" s="208">
        <v>2.7</v>
      </c>
      <c r="AC23" s="208">
        <v>3.4</v>
      </c>
      <c r="AD23" s="208">
        <v>3.4</v>
      </c>
      <c r="AE23" s="208">
        <v>2</v>
      </c>
      <c r="AF23" s="208">
        <v>2</v>
      </c>
      <c r="AG23" s="208">
        <v>1.5</v>
      </c>
      <c r="AH23" s="208">
        <v>1.5</v>
      </c>
      <c r="AI23" s="208">
        <v>2.4</v>
      </c>
      <c r="AJ23" s="208">
        <v>0.5</v>
      </c>
      <c r="AK23" s="332">
        <v>0.5</v>
      </c>
      <c r="AL23" s="208">
        <v>0.1</v>
      </c>
      <c r="AM23" s="208">
        <v>0.1</v>
      </c>
      <c r="AN23" s="208">
        <v>0.1</v>
      </c>
      <c r="AO23" s="209" t="s">
        <v>160</v>
      </c>
      <c r="AP23" s="209" t="s">
        <v>160</v>
      </c>
      <c r="AQ23" s="209" t="s">
        <v>160</v>
      </c>
      <c r="AR23" s="209" t="s">
        <v>160</v>
      </c>
      <c r="AS23" s="209" t="s">
        <v>160</v>
      </c>
      <c r="AT23" s="209" t="s">
        <v>160</v>
      </c>
      <c r="AU23" s="209" t="s">
        <v>160</v>
      </c>
      <c r="AV23" s="209" t="s">
        <v>160</v>
      </c>
      <c r="AW23" s="332">
        <v>2.2999999999999998</v>
      </c>
      <c r="AX23" s="332">
        <v>2.2999999999999998</v>
      </c>
      <c r="AY23" s="332">
        <v>2.2999999999999998</v>
      </c>
      <c r="AZ23" s="332">
        <v>2.2999999999999998</v>
      </c>
      <c r="BA23" s="332">
        <v>2</v>
      </c>
      <c r="BB23" s="332">
        <v>2</v>
      </c>
      <c r="BC23" s="332">
        <v>1.5</v>
      </c>
      <c r="BD23" s="332">
        <v>1.5</v>
      </c>
      <c r="BE23" s="332">
        <v>2.4</v>
      </c>
      <c r="BF23" s="332">
        <v>0.5</v>
      </c>
      <c r="BG23" s="332">
        <v>0.5</v>
      </c>
      <c r="BH23" s="208">
        <v>0.1</v>
      </c>
      <c r="BI23" s="208">
        <v>0.1</v>
      </c>
      <c r="BJ23" s="208">
        <v>0.1</v>
      </c>
      <c r="BK23" s="209" t="s">
        <v>160</v>
      </c>
      <c r="BL23" s="209" t="s">
        <v>160</v>
      </c>
      <c r="BM23" s="209" t="s">
        <v>160</v>
      </c>
      <c r="BN23" s="209" t="s">
        <v>160</v>
      </c>
      <c r="BO23" s="209" t="s">
        <v>160</v>
      </c>
      <c r="BP23" s="209" t="s">
        <v>160</v>
      </c>
      <c r="BQ23" s="209" t="s">
        <v>160</v>
      </c>
      <c r="BR23" s="209" t="s">
        <v>160</v>
      </c>
      <c r="BS23" s="208">
        <v>2.7</v>
      </c>
      <c r="BT23" s="208">
        <v>2.7</v>
      </c>
      <c r="BU23" s="333">
        <v>2.9</v>
      </c>
      <c r="BV23" s="333">
        <v>2.9</v>
      </c>
      <c r="BW23" s="332">
        <v>2</v>
      </c>
      <c r="BX23" s="332">
        <v>2</v>
      </c>
      <c r="BY23" s="332">
        <v>1.5</v>
      </c>
      <c r="BZ23" s="332">
        <v>1.5</v>
      </c>
      <c r="CA23" s="332">
        <v>2.4</v>
      </c>
      <c r="CB23" s="332">
        <v>0.5</v>
      </c>
      <c r="CC23" s="332">
        <v>0.5</v>
      </c>
      <c r="CD23" s="208">
        <v>0.1</v>
      </c>
      <c r="CE23" s="208">
        <v>0.1</v>
      </c>
      <c r="CF23" s="208">
        <v>0.1</v>
      </c>
      <c r="CG23" s="209" t="s">
        <v>160</v>
      </c>
      <c r="CH23" s="209" t="s">
        <v>160</v>
      </c>
      <c r="CI23" s="209" t="s">
        <v>160</v>
      </c>
      <c r="CJ23" s="209" t="s">
        <v>160</v>
      </c>
      <c r="CK23" s="209" t="s">
        <v>160</v>
      </c>
      <c r="CL23" s="209" t="s">
        <v>160</v>
      </c>
      <c r="CM23" s="209" t="s">
        <v>160</v>
      </c>
      <c r="CN23" s="209" t="s">
        <v>160</v>
      </c>
      <c r="CO23" s="208">
        <v>1</v>
      </c>
      <c r="CP23" s="208">
        <v>1</v>
      </c>
      <c r="CQ23" s="208">
        <v>1.1000000000000001</v>
      </c>
      <c r="CR23" s="208">
        <v>1.1000000000000001</v>
      </c>
      <c r="CS23" s="208">
        <v>2</v>
      </c>
      <c r="CT23" s="208">
        <v>2</v>
      </c>
      <c r="CU23" s="208">
        <v>1.2</v>
      </c>
      <c r="CV23" s="208">
        <v>1.2</v>
      </c>
      <c r="CW23" s="208">
        <v>2.4</v>
      </c>
      <c r="CX23" s="208">
        <v>0.5</v>
      </c>
      <c r="CY23" s="332">
        <v>0.5</v>
      </c>
      <c r="CZ23" s="208">
        <v>0.1</v>
      </c>
      <c r="DA23" s="208">
        <v>0.1</v>
      </c>
      <c r="DB23" s="208">
        <v>0.1</v>
      </c>
      <c r="DC23" s="209" t="s">
        <v>160</v>
      </c>
      <c r="DD23" s="209" t="s">
        <v>160</v>
      </c>
      <c r="DE23" s="209" t="s">
        <v>160</v>
      </c>
      <c r="DF23" s="209" t="s">
        <v>160</v>
      </c>
      <c r="DG23" s="209" t="s">
        <v>160</v>
      </c>
      <c r="DH23" s="209" t="s">
        <v>160</v>
      </c>
      <c r="DI23" s="209" t="s">
        <v>160</v>
      </c>
      <c r="DJ23" s="209" t="s">
        <v>160</v>
      </c>
      <c r="DK23" s="332">
        <v>2.7</v>
      </c>
      <c r="DL23" s="332">
        <v>2.7</v>
      </c>
      <c r="DM23" s="332">
        <v>1.2</v>
      </c>
      <c r="DN23" s="332">
        <v>1.2</v>
      </c>
      <c r="DO23" s="332">
        <v>2</v>
      </c>
      <c r="DP23" s="332">
        <v>2</v>
      </c>
      <c r="DQ23" s="332">
        <v>1.5</v>
      </c>
      <c r="DR23" s="332">
        <v>1.5</v>
      </c>
      <c r="DS23" s="332">
        <v>2.4</v>
      </c>
      <c r="DT23" s="332">
        <v>0.5</v>
      </c>
      <c r="DU23" s="332">
        <v>0.5</v>
      </c>
      <c r="DV23" s="208">
        <v>0.1</v>
      </c>
      <c r="DW23" s="208">
        <v>0.1</v>
      </c>
      <c r="DX23" s="208">
        <v>0.1</v>
      </c>
      <c r="DY23" s="209" t="s">
        <v>160</v>
      </c>
      <c r="DZ23" s="209" t="s">
        <v>160</v>
      </c>
      <c r="EA23" s="209" t="s">
        <v>160</v>
      </c>
      <c r="EB23" s="209" t="s">
        <v>160</v>
      </c>
      <c r="EC23" s="209" t="s">
        <v>160</v>
      </c>
      <c r="ED23" s="209" t="s">
        <v>160</v>
      </c>
      <c r="EE23" s="209" t="s">
        <v>160</v>
      </c>
      <c r="EF23" s="209" t="s">
        <v>160</v>
      </c>
      <c r="EG23" s="332">
        <v>2.7</v>
      </c>
      <c r="EH23" s="332">
        <v>2.7</v>
      </c>
      <c r="EI23" s="332">
        <v>2.6</v>
      </c>
      <c r="EJ23" s="332">
        <v>2.6</v>
      </c>
      <c r="EK23" s="332">
        <v>2</v>
      </c>
      <c r="EL23" s="332">
        <v>2</v>
      </c>
      <c r="EM23" s="332">
        <v>1.2</v>
      </c>
      <c r="EN23" s="332">
        <v>1.2</v>
      </c>
      <c r="EO23" s="332">
        <v>2.4</v>
      </c>
      <c r="EP23" s="208">
        <v>0.5</v>
      </c>
      <c r="EQ23" s="332">
        <v>0.5</v>
      </c>
      <c r="ER23" s="208">
        <v>0.1</v>
      </c>
      <c r="ES23" s="208">
        <v>0.1</v>
      </c>
      <c r="ET23" s="208">
        <v>0.1</v>
      </c>
      <c r="EU23" s="209" t="s">
        <v>160</v>
      </c>
      <c r="EV23" s="209" t="s">
        <v>160</v>
      </c>
      <c r="EW23" s="209" t="s">
        <v>160</v>
      </c>
      <c r="EX23" s="209" t="s">
        <v>160</v>
      </c>
      <c r="EY23" s="209" t="s">
        <v>160</v>
      </c>
      <c r="EZ23" s="209" t="s">
        <v>160</v>
      </c>
      <c r="FA23" s="209" t="s">
        <v>160</v>
      </c>
      <c r="FB23" s="209" t="s">
        <v>160</v>
      </c>
      <c r="FC23" s="333">
        <v>1.3</v>
      </c>
      <c r="FD23" s="333">
        <v>1.3</v>
      </c>
      <c r="FE23" s="333">
        <v>2.8</v>
      </c>
      <c r="FF23" s="333">
        <v>2.8</v>
      </c>
      <c r="FG23" s="333">
        <v>1.8</v>
      </c>
      <c r="FH23" s="333">
        <v>1.8</v>
      </c>
      <c r="FI23" s="333">
        <v>2.7</v>
      </c>
      <c r="FJ23" s="333">
        <v>2.7</v>
      </c>
      <c r="FK23" s="332">
        <v>2.4</v>
      </c>
      <c r="FL23" s="332">
        <v>0.5</v>
      </c>
      <c r="FM23" s="332">
        <v>0.5</v>
      </c>
      <c r="FN23" s="208">
        <v>0.1</v>
      </c>
      <c r="FO23" s="208">
        <v>0.1</v>
      </c>
      <c r="FP23" s="208">
        <v>0.1</v>
      </c>
      <c r="FQ23" s="209" t="s">
        <v>160</v>
      </c>
      <c r="FR23" s="209" t="s">
        <v>160</v>
      </c>
      <c r="FS23" s="209" t="s">
        <v>160</v>
      </c>
      <c r="FT23" s="209" t="s">
        <v>160</v>
      </c>
      <c r="FU23" s="209" t="s">
        <v>160</v>
      </c>
      <c r="FV23" s="209" t="s">
        <v>160</v>
      </c>
      <c r="FW23" s="209" t="s">
        <v>160</v>
      </c>
      <c r="FX23" s="209" t="s">
        <v>160</v>
      </c>
      <c r="FY23" s="208">
        <v>2.7</v>
      </c>
      <c r="FZ23" s="208">
        <v>2.7</v>
      </c>
      <c r="GA23" s="208">
        <v>3.4</v>
      </c>
      <c r="GB23" s="208">
        <v>3.4</v>
      </c>
      <c r="GC23" s="208">
        <v>2</v>
      </c>
      <c r="GD23" s="208">
        <v>2</v>
      </c>
      <c r="GE23" s="332">
        <v>1.2</v>
      </c>
      <c r="GF23" s="208">
        <v>1.2</v>
      </c>
      <c r="GG23" s="208">
        <v>2.4</v>
      </c>
      <c r="GH23" s="208">
        <v>0.5</v>
      </c>
      <c r="GI23" s="332">
        <v>0.5</v>
      </c>
      <c r="GJ23" s="208">
        <v>0.1</v>
      </c>
      <c r="GK23" s="208">
        <v>0.1</v>
      </c>
      <c r="GL23" s="208">
        <v>0.1</v>
      </c>
      <c r="GM23" s="209" t="s">
        <v>160</v>
      </c>
      <c r="GN23" s="209" t="s">
        <v>160</v>
      </c>
      <c r="GO23" s="209" t="s">
        <v>160</v>
      </c>
      <c r="GP23" s="209" t="s">
        <v>160</v>
      </c>
      <c r="GQ23" s="209" t="s">
        <v>160</v>
      </c>
      <c r="GR23" s="209" t="s">
        <v>160</v>
      </c>
      <c r="GS23" s="209" t="s">
        <v>160</v>
      </c>
      <c r="GT23" s="209" t="s">
        <v>160</v>
      </c>
      <c r="GU23" s="332">
        <v>2.7</v>
      </c>
      <c r="GV23" s="332">
        <v>2.7</v>
      </c>
      <c r="GW23" s="332">
        <v>1.4</v>
      </c>
      <c r="GX23" s="332">
        <v>1.4</v>
      </c>
      <c r="GY23" s="332">
        <v>2</v>
      </c>
      <c r="GZ23" s="332">
        <v>2</v>
      </c>
      <c r="HA23" s="332">
        <v>1.2</v>
      </c>
      <c r="HB23" s="332">
        <v>1.2</v>
      </c>
      <c r="HC23" s="332">
        <v>2.4</v>
      </c>
      <c r="HD23" s="208">
        <v>0.5</v>
      </c>
      <c r="HE23" s="332">
        <v>0.5</v>
      </c>
      <c r="HF23" s="208">
        <v>0.1</v>
      </c>
      <c r="HG23" s="208">
        <v>0.1</v>
      </c>
      <c r="HH23" s="208">
        <v>0.1</v>
      </c>
      <c r="HI23" s="209" t="s">
        <v>160</v>
      </c>
      <c r="HJ23" s="209" t="s">
        <v>160</v>
      </c>
      <c r="HK23" s="209" t="s">
        <v>160</v>
      </c>
      <c r="HL23" s="209" t="s">
        <v>160</v>
      </c>
      <c r="HM23" s="209" t="s">
        <v>160</v>
      </c>
      <c r="HN23" s="209" t="s">
        <v>160</v>
      </c>
      <c r="HO23" s="209" t="s">
        <v>160</v>
      </c>
      <c r="HP23" s="209" t="s">
        <v>160</v>
      </c>
      <c r="HQ23" s="208">
        <v>2.7</v>
      </c>
      <c r="HR23" s="208">
        <v>2.7</v>
      </c>
      <c r="HS23" s="333">
        <v>2.9</v>
      </c>
      <c r="HT23" s="333">
        <v>2.9</v>
      </c>
      <c r="HU23" s="332">
        <v>2</v>
      </c>
      <c r="HV23" s="332">
        <v>2</v>
      </c>
      <c r="HW23" s="332">
        <v>1.5</v>
      </c>
      <c r="HX23" s="332">
        <v>1.5</v>
      </c>
      <c r="HY23" s="332">
        <v>2.4</v>
      </c>
      <c r="HZ23" s="208">
        <v>0.5</v>
      </c>
      <c r="IA23" s="332">
        <v>0.5</v>
      </c>
      <c r="IB23" s="208">
        <v>0.1</v>
      </c>
      <c r="IC23" s="208">
        <v>0.1</v>
      </c>
      <c r="ID23" s="208">
        <v>0.1</v>
      </c>
      <c r="IE23" s="209" t="s">
        <v>160</v>
      </c>
      <c r="IF23" s="209" t="s">
        <v>160</v>
      </c>
      <c r="IG23" s="209" t="s">
        <v>160</v>
      </c>
      <c r="IH23" s="209" t="s">
        <v>160</v>
      </c>
      <c r="II23" s="209" t="s">
        <v>160</v>
      </c>
      <c r="IJ23" s="209" t="s">
        <v>160</v>
      </c>
      <c r="IK23" s="209" t="s">
        <v>160</v>
      </c>
      <c r="IL23" s="209" t="s">
        <v>160</v>
      </c>
      <c r="IM23" s="208">
        <v>2.7</v>
      </c>
      <c r="IN23" s="208">
        <v>2.7</v>
      </c>
      <c r="IO23" s="208">
        <v>3.4</v>
      </c>
      <c r="IP23" s="208">
        <v>3.4</v>
      </c>
      <c r="IQ23" s="208">
        <v>2</v>
      </c>
      <c r="IR23" s="208">
        <v>2</v>
      </c>
      <c r="IS23" s="208">
        <v>1.5</v>
      </c>
      <c r="IT23" s="208">
        <v>1.5</v>
      </c>
      <c r="IU23" s="208">
        <v>2.4</v>
      </c>
      <c r="IV23" s="208">
        <v>0.5</v>
      </c>
      <c r="IW23" s="332">
        <v>0.5</v>
      </c>
      <c r="IX23" s="208">
        <v>0.1</v>
      </c>
      <c r="IY23" s="208">
        <v>0.1</v>
      </c>
      <c r="IZ23" s="208">
        <v>0.1</v>
      </c>
      <c r="JA23" s="209" t="s">
        <v>160</v>
      </c>
      <c r="JB23" s="209" t="s">
        <v>160</v>
      </c>
      <c r="JC23" s="209" t="s">
        <v>160</v>
      </c>
      <c r="JD23" s="209" t="s">
        <v>160</v>
      </c>
      <c r="JE23" s="209" t="s">
        <v>160</v>
      </c>
      <c r="JF23" s="209" t="s">
        <v>160</v>
      </c>
      <c r="JG23" s="209" t="s">
        <v>160</v>
      </c>
      <c r="JH23" s="209" t="s">
        <v>160</v>
      </c>
      <c r="JI23" s="332">
        <v>1</v>
      </c>
      <c r="JJ23" s="332">
        <v>1</v>
      </c>
      <c r="JK23" s="332">
        <v>1.2</v>
      </c>
      <c r="JL23" s="332">
        <v>1.2</v>
      </c>
      <c r="JM23" s="332">
        <v>2</v>
      </c>
      <c r="JN23" s="332">
        <v>2</v>
      </c>
      <c r="JO23" s="332">
        <v>1.5</v>
      </c>
      <c r="JP23" s="332">
        <v>1.5</v>
      </c>
      <c r="JQ23" s="332">
        <v>2.4</v>
      </c>
      <c r="JR23" s="332">
        <v>0.5</v>
      </c>
      <c r="JS23" s="332">
        <v>0.5</v>
      </c>
      <c r="JT23" s="208">
        <v>0.1</v>
      </c>
      <c r="JU23" s="208">
        <v>0.1</v>
      </c>
      <c r="JV23" s="208">
        <v>0.1</v>
      </c>
      <c r="JW23" s="209" t="s">
        <v>160</v>
      </c>
      <c r="JX23" s="209" t="s">
        <v>160</v>
      </c>
      <c r="JY23" s="209" t="s">
        <v>160</v>
      </c>
      <c r="JZ23" s="209" t="s">
        <v>160</v>
      </c>
      <c r="KA23" s="209" t="s">
        <v>160</v>
      </c>
      <c r="KB23" s="209" t="s">
        <v>160</v>
      </c>
      <c r="KC23" s="209" t="s">
        <v>160</v>
      </c>
      <c r="KD23" s="209" t="s">
        <v>160</v>
      </c>
      <c r="KE23" s="332">
        <v>2.2999999999999998</v>
      </c>
      <c r="KF23" s="332">
        <v>2.2999999999999998</v>
      </c>
      <c r="KG23" s="332">
        <v>2.2999999999999998</v>
      </c>
      <c r="KH23" s="332">
        <v>2.2999999999999998</v>
      </c>
      <c r="KI23" s="332">
        <v>2</v>
      </c>
      <c r="KJ23" s="332">
        <v>2</v>
      </c>
      <c r="KK23" s="332">
        <v>1.5</v>
      </c>
      <c r="KL23" s="332">
        <v>1.5</v>
      </c>
      <c r="KM23" s="332">
        <v>2.4</v>
      </c>
      <c r="KN23" s="332">
        <v>0.5</v>
      </c>
      <c r="KO23" s="332">
        <v>0.5</v>
      </c>
      <c r="KP23" s="208">
        <v>0.1</v>
      </c>
      <c r="KQ23" s="208">
        <v>0.1</v>
      </c>
      <c r="KR23" s="208">
        <v>0.1</v>
      </c>
      <c r="KS23" s="209" t="s">
        <v>160</v>
      </c>
      <c r="KT23" s="209" t="s">
        <v>160</v>
      </c>
      <c r="KU23" s="209" t="s">
        <v>160</v>
      </c>
      <c r="KV23" s="209" t="s">
        <v>160</v>
      </c>
      <c r="KW23" s="209" t="s">
        <v>160</v>
      </c>
      <c r="KX23" s="209" t="s">
        <v>160</v>
      </c>
      <c r="KY23" s="209" t="s">
        <v>160</v>
      </c>
      <c r="KZ23" s="209" t="s">
        <v>160</v>
      </c>
    </row>
    <row r="24" spans="2:312" s="58" customFormat="1">
      <c r="B24" s="345"/>
      <c r="C24" s="210" t="s">
        <v>83</v>
      </c>
      <c r="D24" s="211" t="s">
        <v>84</v>
      </c>
      <c r="E24" s="212">
        <v>2</v>
      </c>
      <c r="F24" s="212">
        <v>5</v>
      </c>
      <c r="G24" s="212">
        <v>2</v>
      </c>
      <c r="H24" s="212">
        <v>4</v>
      </c>
      <c r="I24" s="212">
        <v>2</v>
      </c>
      <c r="J24" s="212">
        <v>4</v>
      </c>
      <c r="K24" s="212">
        <v>2</v>
      </c>
      <c r="L24" s="212">
        <v>4</v>
      </c>
      <c r="M24" s="212">
        <v>2</v>
      </c>
      <c r="N24" s="213">
        <v>6</v>
      </c>
      <c r="O24" s="213">
        <v>7</v>
      </c>
      <c r="P24" s="214">
        <v>8</v>
      </c>
      <c r="Q24" s="214">
        <v>8</v>
      </c>
      <c r="R24" s="214">
        <v>9</v>
      </c>
      <c r="S24" s="213">
        <v>8</v>
      </c>
      <c r="T24" s="214">
        <v>10</v>
      </c>
      <c r="U24" s="213">
        <v>4</v>
      </c>
      <c r="V24" s="213">
        <v>3</v>
      </c>
      <c r="W24" s="213">
        <v>5</v>
      </c>
      <c r="X24" s="215" t="s">
        <v>160</v>
      </c>
      <c r="Y24" s="215" t="s">
        <v>160</v>
      </c>
      <c r="Z24" s="214">
        <v>7</v>
      </c>
      <c r="AA24" s="212">
        <v>3</v>
      </c>
      <c r="AB24" s="212">
        <v>5</v>
      </c>
      <c r="AC24" s="212">
        <v>2</v>
      </c>
      <c r="AD24" s="212">
        <v>4</v>
      </c>
      <c r="AE24" s="212">
        <v>2</v>
      </c>
      <c r="AF24" s="212">
        <v>4</v>
      </c>
      <c r="AG24" s="212">
        <v>3</v>
      </c>
      <c r="AH24" s="212">
        <v>5</v>
      </c>
      <c r="AI24" s="212">
        <v>2</v>
      </c>
      <c r="AJ24" s="213">
        <v>7</v>
      </c>
      <c r="AK24" s="213">
        <v>8</v>
      </c>
      <c r="AL24" s="214">
        <v>8</v>
      </c>
      <c r="AM24" s="214">
        <v>9</v>
      </c>
      <c r="AN24" s="214">
        <v>10</v>
      </c>
      <c r="AO24" s="213">
        <v>8</v>
      </c>
      <c r="AP24" s="214">
        <v>10</v>
      </c>
      <c r="AQ24" s="213">
        <v>4</v>
      </c>
      <c r="AR24" s="213">
        <v>4</v>
      </c>
      <c r="AS24" s="213">
        <v>6</v>
      </c>
      <c r="AT24" s="215" t="s">
        <v>160</v>
      </c>
      <c r="AU24" s="215" t="s">
        <v>160</v>
      </c>
      <c r="AV24" s="214">
        <v>8</v>
      </c>
      <c r="AW24" s="212">
        <v>3</v>
      </c>
      <c r="AX24" s="212">
        <v>5</v>
      </c>
      <c r="AY24" s="212">
        <v>2</v>
      </c>
      <c r="AZ24" s="212">
        <v>4</v>
      </c>
      <c r="BA24" s="212">
        <v>2</v>
      </c>
      <c r="BB24" s="212">
        <v>4</v>
      </c>
      <c r="BC24" s="212">
        <v>3</v>
      </c>
      <c r="BD24" s="212">
        <v>5</v>
      </c>
      <c r="BE24" s="212">
        <v>2</v>
      </c>
      <c r="BF24" s="213">
        <v>7</v>
      </c>
      <c r="BG24" s="213">
        <v>8</v>
      </c>
      <c r="BH24" s="214">
        <v>8</v>
      </c>
      <c r="BI24" s="214">
        <v>9</v>
      </c>
      <c r="BJ24" s="214">
        <v>10</v>
      </c>
      <c r="BK24" s="213">
        <v>8</v>
      </c>
      <c r="BL24" s="214">
        <v>10</v>
      </c>
      <c r="BM24" s="213">
        <v>4</v>
      </c>
      <c r="BN24" s="213">
        <v>4</v>
      </c>
      <c r="BO24" s="213">
        <v>6</v>
      </c>
      <c r="BP24"/>
      <c r="BQ24" s="215" t="s">
        <v>160</v>
      </c>
      <c r="BR24" s="214">
        <v>8</v>
      </c>
      <c r="BS24" s="212">
        <v>3</v>
      </c>
      <c r="BT24" s="212">
        <v>5</v>
      </c>
      <c r="BU24" s="212">
        <v>2</v>
      </c>
      <c r="BV24" s="212">
        <v>4</v>
      </c>
      <c r="BW24" s="212">
        <v>2</v>
      </c>
      <c r="BX24" s="212">
        <v>4</v>
      </c>
      <c r="BY24" s="212">
        <v>3</v>
      </c>
      <c r="BZ24" s="212">
        <v>5</v>
      </c>
      <c r="CA24" s="212">
        <v>2</v>
      </c>
      <c r="CB24" s="213">
        <v>7</v>
      </c>
      <c r="CC24" s="213">
        <v>8</v>
      </c>
      <c r="CD24" s="214">
        <v>8</v>
      </c>
      <c r="CE24" s="214">
        <v>9</v>
      </c>
      <c r="CF24" s="214">
        <v>10</v>
      </c>
      <c r="CG24" s="213">
        <v>8</v>
      </c>
      <c r="CH24" s="214">
        <v>10</v>
      </c>
      <c r="CI24" s="213">
        <v>4</v>
      </c>
      <c r="CJ24" s="213">
        <v>4</v>
      </c>
      <c r="CK24" s="213">
        <v>6</v>
      </c>
      <c r="CL24"/>
      <c r="CM24" s="215" t="s">
        <v>160</v>
      </c>
      <c r="CN24" s="214">
        <v>8</v>
      </c>
      <c r="CO24" s="212">
        <v>3</v>
      </c>
      <c r="CP24" s="212">
        <v>5</v>
      </c>
      <c r="CQ24" s="212">
        <v>2</v>
      </c>
      <c r="CR24" s="212">
        <v>4</v>
      </c>
      <c r="CS24" s="212">
        <v>2</v>
      </c>
      <c r="CT24" s="212">
        <v>4</v>
      </c>
      <c r="CU24" s="212">
        <v>3</v>
      </c>
      <c r="CV24" s="212">
        <v>5</v>
      </c>
      <c r="CW24" s="212">
        <v>2</v>
      </c>
      <c r="CX24" s="213">
        <v>7</v>
      </c>
      <c r="CY24" s="213">
        <v>8</v>
      </c>
      <c r="CZ24" s="214">
        <v>8</v>
      </c>
      <c r="DA24" s="214">
        <v>9</v>
      </c>
      <c r="DB24" s="214">
        <v>10</v>
      </c>
      <c r="DC24" s="213">
        <v>8</v>
      </c>
      <c r="DD24" s="214">
        <v>10</v>
      </c>
      <c r="DE24" s="213">
        <v>4</v>
      </c>
      <c r="DF24" s="213">
        <v>4</v>
      </c>
      <c r="DG24" s="213">
        <v>6</v>
      </c>
      <c r="DH24" s="215" t="s">
        <v>160</v>
      </c>
      <c r="DI24" s="215" t="s">
        <v>160</v>
      </c>
      <c r="DJ24" s="214">
        <v>8</v>
      </c>
      <c r="DK24" s="212">
        <v>3</v>
      </c>
      <c r="DL24" s="212">
        <v>5</v>
      </c>
      <c r="DM24" s="212">
        <v>2</v>
      </c>
      <c r="DN24" s="212">
        <v>4</v>
      </c>
      <c r="DO24" s="212">
        <v>2</v>
      </c>
      <c r="DP24" s="212">
        <v>4</v>
      </c>
      <c r="DQ24" s="212">
        <v>3</v>
      </c>
      <c r="DR24" s="212">
        <v>5</v>
      </c>
      <c r="DS24" s="212">
        <v>2</v>
      </c>
      <c r="DT24" s="213">
        <v>7</v>
      </c>
      <c r="DU24" s="213">
        <v>8</v>
      </c>
      <c r="DV24" s="214">
        <v>8</v>
      </c>
      <c r="DW24" s="214">
        <v>9</v>
      </c>
      <c r="DX24" s="214">
        <v>10</v>
      </c>
      <c r="DY24" s="213">
        <v>8</v>
      </c>
      <c r="DZ24" s="214">
        <v>10</v>
      </c>
      <c r="EA24" s="213">
        <v>4</v>
      </c>
      <c r="EB24" s="213">
        <v>4</v>
      </c>
      <c r="EC24" s="213">
        <v>6</v>
      </c>
      <c r="ED24" s="215" t="s">
        <v>160</v>
      </c>
      <c r="EE24" s="215" t="s">
        <v>160</v>
      </c>
      <c r="EF24" s="214">
        <v>8</v>
      </c>
      <c r="EG24" s="212">
        <v>3</v>
      </c>
      <c r="EH24" s="212">
        <v>5</v>
      </c>
      <c r="EI24" s="212">
        <v>2</v>
      </c>
      <c r="EJ24" s="212">
        <v>4</v>
      </c>
      <c r="EK24" s="212">
        <v>2</v>
      </c>
      <c r="EL24" s="212">
        <v>4</v>
      </c>
      <c r="EM24" s="212">
        <v>3</v>
      </c>
      <c r="EN24" s="212">
        <v>5</v>
      </c>
      <c r="EO24" s="212">
        <v>2</v>
      </c>
      <c r="EP24" s="213">
        <v>7</v>
      </c>
      <c r="EQ24" s="213">
        <v>8</v>
      </c>
      <c r="ER24" s="214">
        <v>8</v>
      </c>
      <c r="ES24" s="214">
        <v>9</v>
      </c>
      <c r="ET24" s="214">
        <v>10</v>
      </c>
      <c r="EU24" s="213">
        <v>8</v>
      </c>
      <c r="EV24" s="214">
        <v>10</v>
      </c>
      <c r="EW24" s="213">
        <v>4</v>
      </c>
      <c r="EX24" s="213">
        <v>4</v>
      </c>
      <c r="EY24" s="213">
        <v>6</v>
      </c>
      <c r="EZ24" s="215" t="s">
        <v>160</v>
      </c>
      <c r="FA24" s="215" t="s">
        <v>160</v>
      </c>
      <c r="FB24" s="214">
        <v>8</v>
      </c>
      <c r="FC24" s="212">
        <v>3</v>
      </c>
      <c r="FD24" s="212">
        <v>5</v>
      </c>
      <c r="FE24" s="212">
        <v>2</v>
      </c>
      <c r="FF24" s="212">
        <v>4</v>
      </c>
      <c r="FG24" s="212">
        <v>2</v>
      </c>
      <c r="FH24" s="212">
        <v>4</v>
      </c>
      <c r="FI24" s="212">
        <v>3</v>
      </c>
      <c r="FJ24" s="212">
        <v>5</v>
      </c>
      <c r="FK24" s="212">
        <v>2</v>
      </c>
      <c r="FL24" s="213">
        <v>7</v>
      </c>
      <c r="FM24" s="213">
        <v>8</v>
      </c>
      <c r="FN24" s="214">
        <v>8</v>
      </c>
      <c r="FO24" s="214">
        <v>9</v>
      </c>
      <c r="FP24" s="214">
        <v>10</v>
      </c>
      <c r="FQ24" s="213">
        <v>8</v>
      </c>
      <c r="FR24" s="214">
        <v>10</v>
      </c>
      <c r="FS24" s="213">
        <v>4</v>
      </c>
      <c r="FT24" s="213">
        <v>4</v>
      </c>
      <c r="FU24" s="213">
        <v>6</v>
      </c>
      <c r="FV24" s="215" t="s">
        <v>160</v>
      </c>
      <c r="FW24" s="215" t="s">
        <v>160</v>
      </c>
      <c r="FX24" s="214">
        <v>8</v>
      </c>
      <c r="FY24" s="212">
        <v>3</v>
      </c>
      <c r="FZ24" s="212">
        <v>5</v>
      </c>
      <c r="GA24" s="212">
        <v>2</v>
      </c>
      <c r="GB24" s="212">
        <v>4</v>
      </c>
      <c r="GC24" s="212">
        <v>2</v>
      </c>
      <c r="GD24" s="212">
        <v>4</v>
      </c>
      <c r="GE24" s="212">
        <v>3</v>
      </c>
      <c r="GF24" s="212">
        <v>5</v>
      </c>
      <c r="GG24" s="212">
        <v>2</v>
      </c>
      <c r="GH24" s="213">
        <v>7</v>
      </c>
      <c r="GI24" s="213">
        <v>8</v>
      </c>
      <c r="GJ24" s="214">
        <v>8</v>
      </c>
      <c r="GK24" s="214">
        <v>9</v>
      </c>
      <c r="GL24" s="214">
        <v>10</v>
      </c>
      <c r="GM24" s="213">
        <v>8</v>
      </c>
      <c r="GN24" s="214">
        <v>10</v>
      </c>
      <c r="GO24" s="213">
        <v>4</v>
      </c>
      <c r="GP24" s="213">
        <v>4</v>
      </c>
      <c r="GQ24" s="213">
        <v>6</v>
      </c>
      <c r="GR24" s="215" t="s">
        <v>160</v>
      </c>
      <c r="GS24" s="215" t="s">
        <v>160</v>
      </c>
      <c r="GT24" s="214">
        <v>8</v>
      </c>
      <c r="GU24" s="212">
        <v>3</v>
      </c>
      <c r="GV24" s="212">
        <v>5</v>
      </c>
      <c r="GW24" s="212">
        <v>2</v>
      </c>
      <c r="GX24" s="212">
        <v>4</v>
      </c>
      <c r="GY24" s="212">
        <v>2</v>
      </c>
      <c r="GZ24" s="212">
        <v>4</v>
      </c>
      <c r="HA24" s="212">
        <v>3</v>
      </c>
      <c r="HB24" s="212">
        <v>5</v>
      </c>
      <c r="HC24" s="212">
        <v>2</v>
      </c>
      <c r="HD24" s="213">
        <v>7</v>
      </c>
      <c r="HE24" s="213">
        <v>8</v>
      </c>
      <c r="HF24" s="214">
        <v>8</v>
      </c>
      <c r="HG24" s="214">
        <v>9</v>
      </c>
      <c r="HH24" s="214">
        <v>10</v>
      </c>
      <c r="HI24" s="213">
        <v>8</v>
      </c>
      <c r="HJ24" s="214">
        <v>10</v>
      </c>
      <c r="HK24" s="213">
        <v>4</v>
      </c>
      <c r="HL24" s="213">
        <v>4</v>
      </c>
      <c r="HM24" s="213">
        <v>6</v>
      </c>
      <c r="HN24"/>
      <c r="HO24"/>
      <c r="HP24" s="214">
        <v>8</v>
      </c>
      <c r="HQ24" s="212">
        <v>3</v>
      </c>
      <c r="HR24" s="212">
        <v>5</v>
      </c>
      <c r="HS24" s="212">
        <v>2</v>
      </c>
      <c r="HT24" s="212">
        <v>4</v>
      </c>
      <c r="HU24" s="212">
        <v>2</v>
      </c>
      <c r="HV24" s="212">
        <v>4</v>
      </c>
      <c r="HW24" s="212">
        <v>3</v>
      </c>
      <c r="HX24" s="212">
        <v>5</v>
      </c>
      <c r="HY24" s="212">
        <v>2</v>
      </c>
      <c r="HZ24" s="213">
        <v>7</v>
      </c>
      <c r="IA24" s="213">
        <v>8</v>
      </c>
      <c r="IB24" s="214">
        <v>8</v>
      </c>
      <c r="IC24" s="214">
        <v>9</v>
      </c>
      <c r="ID24" s="214">
        <v>10</v>
      </c>
      <c r="IE24" s="213">
        <v>8</v>
      </c>
      <c r="IF24" s="214">
        <v>10</v>
      </c>
      <c r="IG24" s="213">
        <v>4</v>
      </c>
      <c r="IH24" s="213">
        <v>4</v>
      </c>
      <c r="II24" s="213">
        <v>6</v>
      </c>
      <c r="IJ24" s="215" t="s">
        <v>160</v>
      </c>
      <c r="IK24" s="215" t="s">
        <v>160</v>
      </c>
      <c r="IL24" s="214">
        <v>8</v>
      </c>
      <c r="IM24" s="212">
        <v>3</v>
      </c>
      <c r="IN24" s="212">
        <v>5</v>
      </c>
      <c r="IO24" s="212">
        <v>2</v>
      </c>
      <c r="IP24" s="212">
        <v>4</v>
      </c>
      <c r="IQ24" s="212">
        <v>2</v>
      </c>
      <c r="IR24" s="212">
        <v>4</v>
      </c>
      <c r="IS24" s="212">
        <v>3</v>
      </c>
      <c r="IT24" s="212">
        <v>5</v>
      </c>
      <c r="IU24" s="212">
        <v>2</v>
      </c>
      <c r="IV24" s="213">
        <v>7</v>
      </c>
      <c r="IW24" s="213">
        <v>8</v>
      </c>
      <c r="IX24" s="214">
        <v>8</v>
      </c>
      <c r="IY24" s="214">
        <v>9</v>
      </c>
      <c r="IZ24" s="214">
        <v>10</v>
      </c>
      <c r="JA24" s="213">
        <v>8</v>
      </c>
      <c r="JB24" s="214">
        <v>10</v>
      </c>
      <c r="JC24" s="213">
        <v>4</v>
      </c>
      <c r="JD24" s="213">
        <v>4</v>
      </c>
      <c r="JE24" s="213">
        <v>6</v>
      </c>
      <c r="JF24" s="215" t="s">
        <v>160</v>
      </c>
      <c r="JG24" s="215" t="s">
        <v>160</v>
      </c>
      <c r="JH24" s="214">
        <v>8</v>
      </c>
      <c r="JI24" s="212">
        <v>3</v>
      </c>
      <c r="JJ24" s="212">
        <v>5</v>
      </c>
      <c r="JK24" s="212">
        <v>2</v>
      </c>
      <c r="JL24" s="212">
        <v>4</v>
      </c>
      <c r="JM24" s="212">
        <v>2</v>
      </c>
      <c r="JN24" s="212">
        <v>4</v>
      </c>
      <c r="JO24" s="212">
        <v>3</v>
      </c>
      <c r="JP24" s="212">
        <v>5</v>
      </c>
      <c r="JQ24" s="212">
        <v>2</v>
      </c>
      <c r="JR24" s="213">
        <v>7</v>
      </c>
      <c r="JS24" s="213">
        <v>8</v>
      </c>
      <c r="JT24" s="214">
        <v>8</v>
      </c>
      <c r="JU24" s="214">
        <v>9</v>
      </c>
      <c r="JV24" s="214">
        <v>10</v>
      </c>
      <c r="JW24" s="213">
        <v>8</v>
      </c>
      <c r="JX24" s="214">
        <v>10</v>
      </c>
      <c r="JY24" s="213">
        <v>4</v>
      </c>
      <c r="JZ24" s="213">
        <v>4</v>
      </c>
      <c r="KA24" s="213">
        <v>6</v>
      </c>
      <c r="KB24" s="215" t="s">
        <v>160</v>
      </c>
      <c r="KC24" s="215" t="s">
        <v>160</v>
      </c>
      <c r="KD24" s="214">
        <v>8</v>
      </c>
      <c r="KE24" s="212">
        <v>3</v>
      </c>
      <c r="KF24" s="212">
        <v>5</v>
      </c>
      <c r="KG24" s="212">
        <v>2</v>
      </c>
      <c r="KH24" s="212">
        <v>4</v>
      </c>
      <c r="KI24" s="212">
        <v>2</v>
      </c>
      <c r="KJ24" s="212">
        <v>4</v>
      </c>
      <c r="KK24" s="212">
        <v>3</v>
      </c>
      <c r="KL24" s="212">
        <v>5</v>
      </c>
      <c r="KM24" s="212">
        <v>2</v>
      </c>
      <c r="KN24" s="213">
        <v>7</v>
      </c>
      <c r="KO24" s="213">
        <v>8</v>
      </c>
      <c r="KP24" s="214">
        <v>8</v>
      </c>
      <c r="KQ24" s="214">
        <v>9</v>
      </c>
      <c r="KR24" s="214">
        <v>10</v>
      </c>
      <c r="KS24" s="213">
        <v>8</v>
      </c>
      <c r="KT24" s="214">
        <v>10</v>
      </c>
      <c r="KU24" s="213">
        <v>4</v>
      </c>
      <c r="KV24" s="213">
        <v>4</v>
      </c>
      <c r="KW24" s="213">
        <v>6</v>
      </c>
      <c r="KX24" s="215"/>
      <c r="KY24"/>
      <c r="KZ24" s="214">
        <v>8</v>
      </c>
    </row>
    <row r="25" spans="2:312" s="23" customFormat="1">
      <c r="B25" s="345"/>
      <c r="C25" s="23" t="s">
        <v>85</v>
      </c>
      <c r="D25" s="23" t="s">
        <v>84</v>
      </c>
      <c r="E25" s="216">
        <v>2</v>
      </c>
      <c r="F25" s="216">
        <v>4</v>
      </c>
      <c r="G25" s="217">
        <v>2</v>
      </c>
      <c r="H25" s="217">
        <v>2</v>
      </c>
      <c r="I25" s="217">
        <v>2</v>
      </c>
      <c r="J25" s="217">
        <v>2</v>
      </c>
      <c r="K25" s="218">
        <v>4</v>
      </c>
      <c r="L25" s="218">
        <v>4</v>
      </c>
      <c r="M25" s="218">
        <v>6</v>
      </c>
      <c r="N25" s="218">
        <v>6</v>
      </c>
      <c r="O25" s="218">
        <v>6</v>
      </c>
      <c r="P25" s="216">
        <v>4</v>
      </c>
      <c r="Q25" s="218">
        <v>8</v>
      </c>
      <c r="R25" s="218">
        <v>8</v>
      </c>
      <c r="S25" s="218">
        <v>6</v>
      </c>
      <c r="T25" s="218">
        <v>6</v>
      </c>
      <c r="U25" s="218">
        <v>4</v>
      </c>
      <c r="V25" s="218">
        <v>4</v>
      </c>
      <c r="W25" s="218">
        <v>4</v>
      </c>
      <c r="X25" s="23" t="s">
        <v>160</v>
      </c>
      <c r="Y25" s="23" t="s">
        <v>160</v>
      </c>
      <c r="Z25" s="218">
        <v>8</v>
      </c>
      <c r="AA25" s="216">
        <v>2</v>
      </c>
      <c r="AB25" s="216">
        <v>4</v>
      </c>
      <c r="AC25" s="217">
        <v>2</v>
      </c>
      <c r="AD25" s="217">
        <v>2</v>
      </c>
      <c r="AE25" s="217">
        <v>2</v>
      </c>
      <c r="AF25" s="217">
        <v>2</v>
      </c>
      <c r="AG25" s="218">
        <v>4</v>
      </c>
      <c r="AH25" s="218">
        <v>4</v>
      </c>
      <c r="AI25" s="218">
        <v>6</v>
      </c>
      <c r="AJ25" s="218">
        <v>6</v>
      </c>
      <c r="AK25" s="218">
        <v>6</v>
      </c>
      <c r="AL25" s="216">
        <v>4</v>
      </c>
      <c r="AM25" s="218">
        <v>8</v>
      </c>
      <c r="AN25" s="218">
        <v>8</v>
      </c>
      <c r="AO25" s="218">
        <v>6</v>
      </c>
      <c r="AP25" s="218">
        <v>6</v>
      </c>
      <c r="AQ25" s="218">
        <v>4</v>
      </c>
      <c r="AR25" s="218">
        <v>4</v>
      </c>
      <c r="AS25" s="218">
        <v>4</v>
      </c>
      <c r="AT25" s="23" t="s">
        <v>160</v>
      </c>
      <c r="AU25" s="23" t="s">
        <v>160</v>
      </c>
      <c r="AV25" s="218">
        <v>8</v>
      </c>
      <c r="AW25" s="216">
        <v>6</v>
      </c>
      <c r="AX25" s="216">
        <v>4</v>
      </c>
      <c r="AY25" s="217">
        <v>6</v>
      </c>
      <c r="AZ25" s="217">
        <v>6</v>
      </c>
      <c r="BA25" s="217">
        <v>6</v>
      </c>
      <c r="BB25" s="217">
        <v>6</v>
      </c>
      <c r="BC25" s="218">
        <v>6</v>
      </c>
      <c r="BD25" s="218">
        <v>6</v>
      </c>
      <c r="BE25" s="218">
        <v>6</v>
      </c>
      <c r="BF25" s="218">
        <v>6</v>
      </c>
      <c r="BG25" s="218">
        <v>6</v>
      </c>
      <c r="BH25" s="216">
        <v>6</v>
      </c>
      <c r="BI25" s="218">
        <v>8</v>
      </c>
      <c r="BJ25" s="218">
        <v>6</v>
      </c>
      <c r="BK25" s="218">
        <v>6</v>
      </c>
      <c r="BL25" s="218">
        <v>6</v>
      </c>
      <c r="BM25" s="218">
        <v>6</v>
      </c>
      <c r="BN25" s="218">
        <v>6</v>
      </c>
      <c r="BO25" s="218">
        <v>6</v>
      </c>
      <c r="BP25" s="23" t="s">
        <v>160</v>
      </c>
      <c r="BQ25" s="23" t="s">
        <v>160</v>
      </c>
      <c r="BR25" s="218">
        <v>6</v>
      </c>
      <c r="BS25" s="216">
        <v>2</v>
      </c>
      <c r="BT25" s="216">
        <v>4</v>
      </c>
      <c r="BU25" s="217">
        <v>2</v>
      </c>
      <c r="BV25" s="217">
        <v>2</v>
      </c>
      <c r="BW25" s="217">
        <v>2</v>
      </c>
      <c r="BX25" s="217">
        <v>2</v>
      </c>
      <c r="BY25" s="218">
        <v>4</v>
      </c>
      <c r="BZ25" s="218">
        <v>4</v>
      </c>
      <c r="CA25" s="218">
        <v>6</v>
      </c>
      <c r="CB25" s="218">
        <v>6</v>
      </c>
      <c r="CC25" s="218">
        <v>6</v>
      </c>
      <c r="CD25" s="216">
        <v>4</v>
      </c>
      <c r="CE25" s="218">
        <v>8</v>
      </c>
      <c r="CF25" s="218">
        <v>8</v>
      </c>
      <c r="CG25" s="218">
        <v>6</v>
      </c>
      <c r="CH25" s="218">
        <v>6</v>
      </c>
      <c r="CI25" s="218">
        <v>4</v>
      </c>
      <c r="CJ25" s="218">
        <v>4</v>
      </c>
      <c r="CK25" s="218">
        <v>4</v>
      </c>
      <c r="CL25" s="23" t="s">
        <v>160</v>
      </c>
      <c r="CM25" s="23" t="s">
        <v>160</v>
      </c>
      <c r="CN25" s="218">
        <v>8</v>
      </c>
      <c r="CO25" s="216">
        <v>2</v>
      </c>
      <c r="CP25" s="216">
        <v>4</v>
      </c>
      <c r="CQ25" s="217">
        <v>2</v>
      </c>
      <c r="CR25" s="217">
        <v>2</v>
      </c>
      <c r="CS25" s="217">
        <v>2</v>
      </c>
      <c r="CT25" s="217">
        <v>2</v>
      </c>
      <c r="CU25" s="218">
        <v>4</v>
      </c>
      <c r="CV25" s="218">
        <v>4</v>
      </c>
      <c r="CW25" s="218">
        <v>6</v>
      </c>
      <c r="CX25" s="218">
        <v>6</v>
      </c>
      <c r="CY25" s="218">
        <v>6</v>
      </c>
      <c r="CZ25" s="216">
        <v>4</v>
      </c>
      <c r="DA25" s="218">
        <v>8</v>
      </c>
      <c r="DB25" s="218">
        <v>8</v>
      </c>
      <c r="DC25" s="218">
        <v>6</v>
      </c>
      <c r="DD25" s="218">
        <v>6</v>
      </c>
      <c r="DE25" s="218">
        <v>4</v>
      </c>
      <c r="DF25" s="218">
        <v>4</v>
      </c>
      <c r="DG25" s="218">
        <v>4</v>
      </c>
      <c r="DH25" s="23" t="s">
        <v>160</v>
      </c>
      <c r="DI25" s="23" t="s">
        <v>160</v>
      </c>
      <c r="DJ25" s="218">
        <v>8</v>
      </c>
      <c r="DK25" s="216">
        <v>2</v>
      </c>
      <c r="DL25" s="216">
        <v>4</v>
      </c>
      <c r="DM25" s="217">
        <v>2</v>
      </c>
      <c r="DN25" s="217">
        <v>2</v>
      </c>
      <c r="DO25" s="217">
        <v>2</v>
      </c>
      <c r="DP25" s="217">
        <v>2</v>
      </c>
      <c r="DQ25" s="218">
        <v>4</v>
      </c>
      <c r="DR25" s="218">
        <v>4</v>
      </c>
      <c r="DS25" s="218">
        <v>6</v>
      </c>
      <c r="DT25" s="218">
        <v>6</v>
      </c>
      <c r="DU25" s="218">
        <v>6</v>
      </c>
      <c r="DV25" s="216">
        <v>4</v>
      </c>
      <c r="DW25" s="218">
        <v>8</v>
      </c>
      <c r="DX25" s="218">
        <v>8</v>
      </c>
      <c r="DY25" s="218">
        <v>6</v>
      </c>
      <c r="DZ25" s="218">
        <v>6</v>
      </c>
      <c r="EA25" s="218">
        <v>4</v>
      </c>
      <c r="EB25" s="218">
        <v>4</v>
      </c>
      <c r="EC25" s="218">
        <v>4</v>
      </c>
      <c r="ED25" s="23" t="s">
        <v>160</v>
      </c>
      <c r="EE25" s="23" t="s">
        <v>160</v>
      </c>
      <c r="EF25" s="218">
        <v>8</v>
      </c>
      <c r="EG25" s="216">
        <v>2</v>
      </c>
      <c r="EH25" s="216">
        <v>4</v>
      </c>
      <c r="EI25" s="217">
        <v>2</v>
      </c>
      <c r="EJ25" s="217">
        <v>2</v>
      </c>
      <c r="EK25" s="217">
        <v>2</v>
      </c>
      <c r="EL25" s="217">
        <v>2</v>
      </c>
      <c r="EM25" s="218">
        <v>4</v>
      </c>
      <c r="EN25" s="218">
        <v>4</v>
      </c>
      <c r="EO25" s="218">
        <v>6</v>
      </c>
      <c r="EP25" s="218">
        <v>6</v>
      </c>
      <c r="EQ25" s="218">
        <v>6</v>
      </c>
      <c r="ER25" s="216">
        <v>4</v>
      </c>
      <c r="ES25" s="218">
        <v>8</v>
      </c>
      <c r="ET25" s="218">
        <v>8</v>
      </c>
      <c r="EU25" s="218">
        <v>6</v>
      </c>
      <c r="EV25" s="218">
        <v>6</v>
      </c>
      <c r="EW25" s="218">
        <v>4</v>
      </c>
      <c r="EX25" s="218">
        <v>4</v>
      </c>
      <c r="EY25" s="218">
        <v>4</v>
      </c>
      <c r="EZ25" s="23" t="s">
        <v>160</v>
      </c>
      <c r="FA25" s="23" t="s">
        <v>160</v>
      </c>
      <c r="FB25" s="218">
        <v>8</v>
      </c>
      <c r="FC25" s="216">
        <v>2</v>
      </c>
      <c r="FD25" s="216">
        <v>4</v>
      </c>
      <c r="FE25" s="217">
        <v>2</v>
      </c>
      <c r="FF25" s="217">
        <v>2</v>
      </c>
      <c r="FG25" s="217">
        <v>2</v>
      </c>
      <c r="FH25" s="217">
        <v>2</v>
      </c>
      <c r="FI25" s="218">
        <v>4</v>
      </c>
      <c r="FJ25" s="218">
        <v>4</v>
      </c>
      <c r="FK25" s="218">
        <v>6</v>
      </c>
      <c r="FL25" s="218">
        <v>6</v>
      </c>
      <c r="FM25" s="218">
        <v>6</v>
      </c>
      <c r="FN25" s="216">
        <v>4</v>
      </c>
      <c r="FO25" s="218">
        <v>8</v>
      </c>
      <c r="FP25" s="218">
        <v>8</v>
      </c>
      <c r="FQ25" s="218">
        <v>6</v>
      </c>
      <c r="FR25" s="218">
        <v>6</v>
      </c>
      <c r="FS25" s="218">
        <v>4</v>
      </c>
      <c r="FT25" s="218">
        <v>4</v>
      </c>
      <c r="FU25" s="218">
        <v>4</v>
      </c>
      <c r="FV25" s="23" t="s">
        <v>160</v>
      </c>
      <c r="FW25" s="23" t="s">
        <v>160</v>
      </c>
      <c r="FX25" s="218">
        <v>8</v>
      </c>
      <c r="FY25" s="216">
        <v>2</v>
      </c>
      <c r="FZ25" s="216">
        <v>4</v>
      </c>
      <c r="GA25" s="217">
        <v>2</v>
      </c>
      <c r="GB25" s="217">
        <v>2</v>
      </c>
      <c r="GC25" s="217">
        <v>2</v>
      </c>
      <c r="GD25" s="217">
        <v>2</v>
      </c>
      <c r="GE25" s="218">
        <v>4</v>
      </c>
      <c r="GF25" s="218">
        <v>4</v>
      </c>
      <c r="GG25" s="218">
        <v>6</v>
      </c>
      <c r="GH25" s="218">
        <v>6</v>
      </c>
      <c r="GI25" s="218">
        <v>6</v>
      </c>
      <c r="GJ25" s="216">
        <v>4</v>
      </c>
      <c r="GK25" s="218">
        <v>8</v>
      </c>
      <c r="GL25" s="218">
        <v>8</v>
      </c>
      <c r="GM25" s="218">
        <v>6</v>
      </c>
      <c r="GN25" s="218">
        <v>6</v>
      </c>
      <c r="GO25" s="218">
        <v>4</v>
      </c>
      <c r="GP25" s="218">
        <v>4</v>
      </c>
      <c r="GQ25" s="218">
        <v>4</v>
      </c>
      <c r="GR25" s="23" t="s">
        <v>160</v>
      </c>
      <c r="GS25" s="23" t="s">
        <v>160</v>
      </c>
      <c r="GT25" s="218">
        <v>8</v>
      </c>
      <c r="GU25" s="216">
        <v>2</v>
      </c>
      <c r="GV25" s="216">
        <v>4</v>
      </c>
      <c r="GW25" s="217">
        <v>2</v>
      </c>
      <c r="GX25" s="217">
        <v>2</v>
      </c>
      <c r="GY25" s="217">
        <v>2</v>
      </c>
      <c r="GZ25" s="217">
        <v>2</v>
      </c>
      <c r="HA25" s="218">
        <v>4</v>
      </c>
      <c r="HB25" s="218">
        <v>4</v>
      </c>
      <c r="HC25" s="218">
        <v>6</v>
      </c>
      <c r="HD25" s="218">
        <v>6</v>
      </c>
      <c r="HE25" s="218">
        <v>6</v>
      </c>
      <c r="HF25" s="216">
        <v>4</v>
      </c>
      <c r="HG25" s="218">
        <v>8</v>
      </c>
      <c r="HH25" s="218">
        <v>8</v>
      </c>
      <c r="HI25" s="218">
        <v>6</v>
      </c>
      <c r="HJ25" s="218">
        <v>6</v>
      </c>
      <c r="HK25" s="218">
        <v>4</v>
      </c>
      <c r="HL25" s="218">
        <v>4</v>
      </c>
      <c r="HM25" s="218">
        <v>4</v>
      </c>
      <c r="HN25" s="23" t="s">
        <v>160</v>
      </c>
      <c r="HO25" s="23" t="s">
        <v>160</v>
      </c>
      <c r="HP25" s="218">
        <v>8</v>
      </c>
      <c r="HQ25" s="216">
        <v>2</v>
      </c>
      <c r="HR25" s="216">
        <v>4</v>
      </c>
      <c r="HS25" s="217">
        <v>2</v>
      </c>
      <c r="HT25" s="217">
        <v>2</v>
      </c>
      <c r="HU25" s="217">
        <v>2</v>
      </c>
      <c r="HV25" s="217">
        <v>2</v>
      </c>
      <c r="HW25" s="218">
        <v>4</v>
      </c>
      <c r="HX25" s="218">
        <v>4</v>
      </c>
      <c r="HY25" s="218">
        <v>6</v>
      </c>
      <c r="HZ25" s="218">
        <v>6</v>
      </c>
      <c r="IA25" s="218">
        <v>6</v>
      </c>
      <c r="IB25" s="216">
        <v>4</v>
      </c>
      <c r="IC25" s="218">
        <v>8</v>
      </c>
      <c r="ID25" s="218">
        <v>8</v>
      </c>
      <c r="IE25" s="218">
        <v>6</v>
      </c>
      <c r="IF25" s="218">
        <v>6</v>
      </c>
      <c r="IG25" s="218">
        <v>4</v>
      </c>
      <c r="IH25" s="218">
        <v>4</v>
      </c>
      <c r="II25" s="218">
        <v>4</v>
      </c>
      <c r="IJ25" s="23" t="s">
        <v>160</v>
      </c>
      <c r="IK25" s="23" t="s">
        <v>160</v>
      </c>
      <c r="IL25" s="218">
        <v>8</v>
      </c>
      <c r="IM25" s="216">
        <v>2</v>
      </c>
      <c r="IN25" s="216">
        <v>4</v>
      </c>
      <c r="IO25" s="217">
        <v>2</v>
      </c>
      <c r="IP25" s="217">
        <v>2</v>
      </c>
      <c r="IQ25" s="217">
        <v>2</v>
      </c>
      <c r="IR25" s="217">
        <v>2</v>
      </c>
      <c r="IS25" s="218">
        <v>4</v>
      </c>
      <c r="IT25" s="218">
        <v>4</v>
      </c>
      <c r="IU25" s="218">
        <v>6</v>
      </c>
      <c r="IV25" s="218">
        <v>6</v>
      </c>
      <c r="IW25" s="218">
        <v>6</v>
      </c>
      <c r="IX25" s="216">
        <v>4</v>
      </c>
      <c r="IY25" s="218">
        <v>8</v>
      </c>
      <c r="IZ25" s="218">
        <v>8</v>
      </c>
      <c r="JA25" s="218">
        <v>6</v>
      </c>
      <c r="JB25" s="218">
        <v>6</v>
      </c>
      <c r="JC25" s="218">
        <v>4</v>
      </c>
      <c r="JD25" s="218">
        <v>4</v>
      </c>
      <c r="JE25" s="218">
        <v>4</v>
      </c>
      <c r="JF25" s="23" t="s">
        <v>160</v>
      </c>
      <c r="JG25" s="23" t="s">
        <v>160</v>
      </c>
      <c r="JH25" s="218">
        <v>8</v>
      </c>
      <c r="JI25" s="216">
        <v>2</v>
      </c>
      <c r="JJ25" s="216">
        <v>4</v>
      </c>
      <c r="JK25" s="217">
        <v>2</v>
      </c>
      <c r="JL25" s="217">
        <v>2</v>
      </c>
      <c r="JM25" s="217">
        <v>2</v>
      </c>
      <c r="JN25" s="217">
        <v>2</v>
      </c>
      <c r="JO25" s="218">
        <v>4</v>
      </c>
      <c r="JP25" s="218">
        <v>4</v>
      </c>
      <c r="JQ25" s="218">
        <v>6</v>
      </c>
      <c r="JR25" s="218">
        <v>6</v>
      </c>
      <c r="JS25" s="218">
        <v>6</v>
      </c>
      <c r="JT25" s="216">
        <v>4</v>
      </c>
      <c r="JU25" s="218">
        <v>8</v>
      </c>
      <c r="JV25" s="218">
        <v>8</v>
      </c>
      <c r="JW25" s="218">
        <v>6</v>
      </c>
      <c r="JX25" s="218">
        <v>6</v>
      </c>
      <c r="JY25" s="218">
        <v>4</v>
      </c>
      <c r="JZ25" s="218">
        <v>4</v>
      </c>
      <c r="KA25" s="218">
        <v>4</v>
      </c>
      <c r="KB25" s="23" t="s">
        <v>160</v>
      </c>
      <c r="KC25" s="23" t="s">
        <v>160</v>
      </c>
      <c r="KD25" s="218">
        <v>8</v>
      </c>
      <c r="KE25" s="216">
        <v>2</v>
      </c>
      <c r="KF25" s="216">
        <v>4</v>
      </c>
      <c r="KG25" s="217">
        <v>2</v>
      </c>
      <c r="KH25" s="217">
        <v>2</v>
      </c>
      <c r="KI25" s="217">
        <v>2</v>
      </c>
      <c r="KJ25" s="217">
        <v>2</v>
      </c>
      <c r="KK25" s="218">
        <v>4</v>
      </c>
      <c r="KL25" s="218">
        <v>4</v>
      </c>
      <c r="KM25" s="218">
        <v>6</v>
      </c>
      <c r="KN25" s="218">
        <v>6</v>
      </c>
      <c r="KO25" s="218">
        <v>6</v>
      </c>
      <c r="KP25" s="216">
        <v>4</v>
      </c>
      <c r="KQ25" s="218">
        <v>8</v>
      </c>
      <c r="KR25" s="218">
        <v>8</v>
      </c>
      <c r="KS25" s="218">
        <v>6</v>
      </c>
      <c r="KT25" s="218">
        <v>6</v>
      </c>
      <c r="KU25" s="218">
        <v>4</v>
      </c>
      <c r="KV25" s="218">
        <v>4</v>
      </c>
      <c r="KW25" s="218">
        <v>4</v>
      </c>
      <c r="KX25" s="23" t="s">
        <v>160</v>
      </c>
      <c r="KY25" s="23" t="s">
        <v>160</v>
      </c>
      <c r="KZ25" s="218">
        <v>8</v>
      </c>
    </row>
    <row r="26" spans="2:312" s="23" customFormat="1">
      <c r="B26" s="345"/>
      <c r="C26" s="23" t="s">
        <v>86</v>
      </c>
      <c r="D26" s="23" t="s">
        <v>84</v>
      </c>
      <c r="E26" s="217">
        <v>4</v>
      </c>
      <c r="F26" s="217">
        <v>4</v>
      </c>
      <c r="G26" s="217">
        <v>2</v>
      </c>
      <c r="H26" s="217">
        <v>4</v>
      </c>
      <c r="I26" s="217">
        <v>2</v>
      </c>
      <c r="J26" s="217">
        <v>4</v>
      </c>
      <c r="K26" s="217">
        <v>2</v>
      </c>
      <c r="L26" s="217">
        <v>4</v>
      </c>
      <c r="M26" s="217">
        <v>4</v>
      </c>
      <c r="N26" s="218">
        <v>4</v>
      </c>
      <c r="O26" s="218">
        <v>4</v>
      </c>
      <c r="P26" s="216">
        <v>8</v>
      </c>
      <c r="Q26" s="217">
        <v>8</v>
      </c>
      <c r="R26" s="217">
        <v>8</v>
      </c>
      <c r="S26" s="218">
        <v>8</v>
      </c>
      <c r="T26" s="218">
        <v>10</v>
      </c>
      <c r="U26" s="218">
        <v>4</v>
      </c>
      <c r="V26" s="218">
        <v>2</v>
      </c>
      <c r="W26" s="218">
        <v>4</v>
      </c>
      <c r="X26" s="23" t="s">
        <v>160</v>
      </c>
      <c r="Y26" s="23" t="s">
        <v>160</v>
      </c>
      <c r="Z26" s="216">
        <v>10</v>
      </c>
      <c r="AA26" s="217">
        <v>4</v>
      </c>
      <c r="AB26" s="217">
        <v>4</v>
      </c>
      <c r="AC26" s="217">
        <v>2</v>
      </c>
      <c r="AD26" s="217">
        <v>4</v>
      </c>
      <c r="AE26" s="217">
        <v>2</v>
      </c>
      <c r="AF26" s="217">
        <v>4</v>
      </c>
      <c r="AG26" s="217">
        <v>2</v>
      </c>
      <c r="AH26" s="217">
        <v>4</v>
      </c>
      <c r="AI26" s="217">
        <v>4</v>
      </c>
      <c r="AJ26" s="218">
        <v>4</v>
      </c>
      <c r="AK26" s="218">
        <v>4</v>
      </c>
      <c r="AL26" s="216">
        <v>8</v>
      </c>
      <c r="AM26" s="217">
        <v>10</v>
      </c>
      <c r="AN26" s="217">
        <v>10</v>
      </c>
      <c r="AO26" s="218">
        <v>10</v>
      </c>
      <c r="AP26" s="218">
        <v>10</v>
      </c>
      <c r="AQ26" s="218">
        <v>4</v>
      </c>
      <c r="AR26" s="218">
        <v>2</v>
      </c>
      <c r="AS26" s="218">
        <v>4</v>
      </c>
      <c r="AT26" s="23" t="s">
        <v>160</v>
      </c>
      <c r="AU26" s="23" t="s">
        <v>160</v>
      </c>
      <c r="AV26" s="216">
        <v>10</v>
      </c>
      <c r="AW26" s="217">
        <v>6</v>
      </c>
      <c r="AX26" s="217">
        <v>6</v>
      </c>
      <c r="AY26" s="217">
        <v>6</v>
      </c>
      <c r="AZ26" s="217">
        <v>6</v>
      </c>
      <c r="BA26" s="217">
        <v>6</v>
      </c>
      <c r="BB26" s="217">
        <v>6</v>
      </c>
      <c r="BC26" s="217">
        <v>6</v>
      </c>
      <c r="BD26" s="217">
        <v>6</v>
      </c>
      <c r="BE26" s="217">
        <v>6</v>
      </c>
      <c r="BF26" s="218">
        <v>6</v>
      </c>
      <c r="BG26" s="218">
        <v>4</v>
      </c>
      <c r="BH26" s="216">
        <v>8</v>
      </c>
      <c r="BI26" s="217">
        <v>8</v>
      </c>
      <c r="BJ26" s="217">
        <v>6</v>
      </c>
      <c r="BK26" s="218">
        <v>6</v>
      </c>
      <c r="BL26" s="218">
        <v>10</v>
      </c>
      <c r="BM26" s="218">
        <v>6</v>
      </c>
      <c r="BN26" s="218">
        <v>6</v>
      </c>
      <c r="BO26" s="218">
        <v>6</v>
      </c>
      <c r="BP26" s="23" t="s">
        <v>160</v>
      </c>
      <c r="BQ26" s="23" t="s">
        <v>160</v>
      </c>
      <c r="BR26" s="216">
        <v>6</v>
      </c>
      <c r="BS26" s="217">
        <v>4</v>
      </c>
      <c r="BT26" s="217">
        <v>4</v>
      </c>
      <c r="BU26" s="217">
        <v>2</v>
      </c>
      <c r="BV26" s="217">
        <v>4</v>
      </c>
      <c r="BW26" s="217">
        <v>2</v>
      </c>
      <c r="BX26" s="217">
        <v>4</v>
      </c>
      <c r="BY26" s="217">
        <v>2</v>
      </c>
      <c r="BZ26" s="217">
        <v>4</v>
      </c>
      <c r="CA26" s="217">
        <v>4</v>
      </c>
      <c r="CB26" s="218">
        <v>4</v>
      </c>
      <c r="CC26" s="218">
        <v>4</v>
      </c>
      <c r="CD26" s="216">
        <v>8</v>
      </c>
      <c r="CE26" s="217">
        <v>10</v>
      </c>
      <c r="CF26" s="217">
        <v>10</v>
      </c>
      <c r="CG26" s="218">
        <v>10</v>
      </c>
      <c r="CH26" s="218">
        <v>10</v>
      </c>
      <c r="CI26" s="218">
        <v>4</v>
      </c>
      <c r="CJ26" s="218">
        <v>2</v>
      </c>
      <c r="CK26" s="218">
        <v>4</v>
      </c>
      <c r="CL26" s="23" t="s">
        <v>160</v>
      </c>
      <c r="CM26" s="23" t="s">
        <v>160</v>
      </c>
      <c r="CN26" s="216">
        <v>10</v>
      </c>
      <c r="CO26" s="217">
        <v>4</v>
      </c>
      <c r="CP26" s="217">
        <v>4</v>
      </c>
      <c r="CQ26" s="217">
        <v>2</v>
      </c>
      <c r="CR26" s="217">
        <v>4</v>
      </c>
      <c r="CS26" s="217">
        <v>2</v>
      </c>
      <c r="CT26" s="217">
        <v>4</v>
      </c>
      <c r="CU26" s="217">
        <v>2</v>
      </c>
      <c r="CV26" s="217">
        <v>4</v>
      </c>
      <c r="CW26" s="217">
        <v>4</v>
      </c>
      <c r="CX26" s="218">
        <v>4</v>
      </c>
      <c r="CY26" s="218">
        <v>4</v>
      </c>
      <c r="CZ26" s="216">
        <v>8</v>
      </c>
      <c r="DA26" s="217">
        <v>10</v>
      </c>
      <c r="DB26" s="217">
        <v>10</v>
      </c>
      <c r="DC26" s="218">
        <v>10</v>
      </c>
      <c r="DD26" s="218">
        <v>10</v>
      </c>
      <c r="DE26" s="218">
        <v>4</v>
      </c>
      <c r="DF26" s="218">
        <v>2</v>
      </c>
      <c r="DG26" s="218">
        <v>4</v>
      </c>
      <c r="DH26" s="23" t="s">
        <v>160</v>
      </c>
      <c r="DI26" s="23" t="s">
        <v>160</v>
      </c>
      <c r="DJ26" s="216">
        <v>10</v>
      </c>
      <c r="DK26" s="217">
        <v>4</v>
      </c>
      <c r="DL26" s="217">
        <v>4</v>
      </c>
      <c r="DM26" s="217">
        <v>2</v>
      </c>
      <c r="DN26" s="217">
        <v>4</v>
      </c>
      <c r="DO26" s="217">
        <v>2</v>
      </c>
      <c r="DP26" s="217">
        <v>4</v>
      </c>
      <c r="DQ26" s="217">
        <v>2</v>
      </c>
      <c r="DR26" s="217">
        <v>4</v>
      </c>
      <c r="DS26" s="217">
        <v>4</v>
      </c>
      <c r="DT26" s="218">
        <v>4</v>
      </c>
      <c r="DU26" s="218">
        <v>4</v>
      </c>
      <c r="DV26" s="216">
        <v>8</v>
      </c>
      <c r="DW26" s="217">
        <v>10</v>
      </c>
      <c r="DX26" s="217">
        <v>10</v>
      </c>
      <c r="DY26" s="218">
        <v>10</v>
      </c>
      <c r="DZ26" s="218">
        <v>10</v>
      </c>
      <c r="EA26" s="218">
        <v>4</v>
      </c>
      <c r="EB26" s="218">
        <v>2</v>
      </c>
      <c r="EC26" s="218">
        <v>4</v>
      </c>
      <c r="ED26" s="23" t="s">
        <v>160</v>
      </c>
      <c r="EE26" s="23" t="s">
        <v>160</v>
      </c>
      <c r="EF26" s="216">
        <v>10</v>
      </c>
      <c r="EG26" s="217">
        <v>4</v>
      </c>
      <c r="EH26" s="217">
        <v>4</v>
      </c>
      <c r="EI26" s="217">
        <v>2</v>
      </c>
      <c r="EJ26" s="217">
        <v>4</v>
      </c>
      <c r="EK26" s="217">
        <v>2</v>
      </c>
      <c r="EL26" s="217">
        <v>4</v>
      </c>
      <c r="EM26" s="217">
        <v>2</v>
      </c>
      <c r="EN26" s="217">
        <v>4</v>
      </c>
      <c r="EO26" s="217">
        <v>4</v>
      </c>
      <c r="EP26" s="218">
        <v>4</v>
      </c>
      <c r="EQ26" s="218">
        <v>4</v>
      </c>
      <c r="ER26" s="216">
        <v>8</v>
      </c>
      <c r="ES26" s="217">
        <v>10</v>
      </c>
      <c r="ET26" s="217">
        <v>10</v>
      </c>
      <c r="EU26" s="218">
        <v>10</v>
      </c>
      <c r="EV26" s="218">
        <v>8</v>
      </c>
      <c r="EW26" s="218">
        <v>4</v>
      </c>
      <c r="EX26" s="218">
        <v>2</v>
      </c>
      <c r="EY26" s="218">
        <v>4</v>
      </c>
      <c r="EZ26" s="23" t="s">
        <v>160</v>
      </c>
      <c r="FA26" s="23" t="s">
        <v>160</v>
      </c>
      <c r="FB26" s="216">
        <v>10</v>
      </c>
      <c r="FC26" s="217">
        <v>4</v>
      </c>
      <c r="FD26" s="217">
        <v>4</v>
      </c>
      <c r="FE26" s="217">
        <v>2</v>
      </c>
      <c r="FF26" s="217">
        <v>4</v>
      </c>
      <c r="FG26" s="217">
        <v>2</v>
      </c>
      <c r="FH26" s="217">
        <v>4</v>
      </c>
      <c r="FI26" s="217">
        <v>2</v>
      </c>
      <c r="FJ26" s="217">
        <v>4</v>
      </c>
      <c r="FK26" s="217">
        <v>4</v>
      </c>
      <c r="FL26" s="218">
        <v>4</v>
      </c>
      <c r="FM26" s="218">
        <v>4</v>
      </c>
      <c r="FN26" s="216">
        <v>8</v>
      </c>
      <c r="FO26" s="217">
        <v>10</v>
      </c>
      <c r="FP26" s="217">
        <v>10</v>
      </c>
      <c r="FQ26" s="218">
        <v>10</v>
      </c>
      <c r="FR26" s="218">
        <v>8</v>
      </c>
      <c r="FS26" s="218">
        <v>4</v>
      </c>
      <c r="FT26" s="218">
        <v>2</v>
      </c>
      <c r="FU26" s="218">
        <v>4</v>
      </c>
      <c r="FV26" s="23" t="s">
        <v>160</v>
      </c>
      <c r="FW26" s="23" t="s">
        <v>160</v>
      </c>
      <c r="FX26" s="216">
        <v>10</v>
      </c>
      <c r="FY26" s="217">
        <v>4</v>
      </c>
      <c r="FZ26" s="217">
        <v>4</v>
      </c>
      <c r="GA26" s="217">
        <v>2</v>
      </c>
      <c r="GB26" s="217">
        <v>4</v>
      </c>
      <c r="GC26" s="217">
        <v>2</v>
      </c>
      <c r="GD26" s="217">
        <v>4</v>
      </c>
      <c r="GE26" s="217">
        <v>2</v>
      </c>
      <c r="GF26" s="217">
        <v>4</v>
      </c>
      <c r="GG26" s="217">
        <v>4</v>
      </c>
      <c r="GH26" s="218">
        <v>4</v>
      </c>
      <c r="GI26" s="218">
        <v>4</v>
      </c>
      <c r="GJ26" s="216">
        <v>8</v>
      </c>
      <c r="GK26" s="217">
        <v>10</v>
      </c>
      <c r="GL26" s="217">
        <v>10</v>
      </c>
      <c r="GM26" s="218">
        <v>10</v>
      </c>
      <c r="GN26" s="218">
        <v>8</v>
      </c>
      <c r="GO26" s="218">
        <v>4</v>
      </c>
      <c r="GP26" s="218">
        <v>2</v>
      </c>
      <c r="GQ26" s="218">
        <v>4</v>
      </c>
      <c r="GR26" s="23" t="s">
        <v>160</v>
      </c>
      <c r="GS26" s="23" t="s">
        <v>160</v>
      </c>
      <c r="GT26" s="216">
        <v>10</v>
      </c>
      <c r="GU26" s="217">
        <v>4</v>
      </c>
      <c r="GV26" s="217">
        <v>4</v>
      </c>
      <c r="GW26" s="217">
        <v>2</v>
      </c>
      <c r="GX26" s="217">
        <v>4</v>
      </c>
      <c r="GY26" s="217">
        <v>2</v>
      </c>
      <c r="GZ26" s="217">
        <v>4</v>
      </c>
      <c r="HA26" s="217">
        <v>2</v>
      </c>
      <c r="HB26" s="217">
        <v>4</v>
      </c>
      <c r="HC26" s="217">
        <v>4</v>
      </c>
      <c r="HD26" s="218">
        <v>4</v>
      </c>
      <c r="HE26" s="218">
        <v>4</v>
      </c>
      <c r="HF26" s="216">
        <v>8</v>
      </c>
      <c r="HG26" s="217">
        <v>10</v>
      </c>
      <c r="HH26" s="217">
        <v>10</v>
      </c>
      <c r="HI26" s="218">
        <v>10</v>
      </c>
      <c r="HJ26" s="218">
        <v>8</v>
      </c>
      <c r="HK26" s="218">
        <v>4</v>
      </c>
      <c r="HL26" s="218">
        <v>2</v>
      </c>
      <c r="HM26" s="218">
        <v>4</v>
      </c>
      <c r="HN26" s="23" t="s">
        <v>160</v>
      </c>
      <c r="HO26" s="23" t="s">
        <v>160</v>
      </c>
      <c r="HP26" s="216">
        <v>10</v>
      </c>
      <c r="HQ26" s="217">
        <v>4</v>
      </c>
      <c r="HR26" s="217">
        <v>4</v>
      </c>
      <c r="HS26" s="217">
        <v>2</v>
      </c>
      <c r="HT26" s="217">
        <v>4</v>
      </c>
      <c r="HU26" s="217">
        <v>2</v>
      </c>
      <c r="HV26" s="217">
        <v>4</v>
      </c>
      <c r="HW26" s="217">
        <v>2</v>
      </c>
      <c r="HX26" s="217">
        <v>4</v>
      </c>
      <c r="HY26" s="217">
        <v>4</v>
      </c>
      <c r="HZ26" s="218">
        <v>4</v>
      </c>
      <c r="IA26" s="218">
        <v>4</v>
      </c>
      <c r="IB26" s="216">
        <v>8</v>
      </c>
      <c r="IC26" s="217">
        <v>10</v>
      </c>
      <c r="ID26" s="217">
        <v>10</v>
      </c>
      <c r="IE26" s="218">
        <v>10</v>
      </c>
      <c r="IF26" s="218">
        <v>8</v>
      </c>
      <c r="IG26" s="218">
        <v>4</v>
      </c>
      <c r="IH26" s="218">
        <v>2</v>
      </c>
      <c r="II26" s="218">
        <v>4</v>
      </c>
      <c r="IJ26" s="23" t="s">
        <v>160</v>
      </c>
      <c r="IK26" s="23" t="s">
        <v>160</v>
      </c>
      <c r="IL26" s="216">
        <v>10</v>
      </c>
      <c r="IM26" s="217">
        <v>4</v>
      </c>
      <c r="IN26" s="217">
        <v>4</v>
      </c>
      <c r="IO26" s="217">
        <v>2</v>
      </c>
      <c r="IP26" s="217">
        <v>4</v>
      </c>
      <c r="IQ26" s="217">
        <v>2</v>
      </c>
      <c r="IR26" s="217">
        <v>4</v>
      </c>
      <c r="IS26" s="217">
        <v>2</v>
      </c>
      <c r="IT26" s="217">
        <v>4</v>
      </c>
      <c r="IU26" s="217">
        <v>4</v>
      </c>
      <c r="IV26" s="218">
        <v>4</v>
      </c>
      <c r="IW26" s="218">
        <v>4</v>
      </c>
      <c r="IX26" s="216">
        <v>8</v>
      </c>
      <c r="IY26" s="217">
        <v>10</v>
      </c>
      <c r="IZ26" s="217">
        <v>10</v>
      </c>
      <c r="JA26" s="218">
        <v>10</v>
      </c>
      <c r="JB26" s="218">
        <v>8</v>
      </c>
      <c r="JC26" s="218">
        <v>4</v>
      </c>
      <c r="JD26" s="218">
        <v>2</v>
      </c>
      <c r="JE26" s="218">
        <v>4</v>
      </c>
      <c r="JF26" s="23" t="s">
        <v>160</v>
      </c>
      <c r="JG26" s="23" t="s">
        <v>160</v>
      </c>
      <c r="JH26" s="216">
        <v>10</v>
      </c>
      <c r="JI26" s="217">
        <v>4</v>
      </c>
      <c r="JJ26" s="217">
        <v>4</v>
      </c>
      <c r="JK26" s="217">
        <v>2</v>
      </c>
      <c r="JL26" s="217">
        <v>4</v>
      </c>
      <c r="JM26" s="217">
        <v>2</v>
      </c>
      <c r="JN26" s="217">
        <v>4</v>
      </c>
      <c r="JO26" s="217">
        <v>2</v>
      </c>
      <c r="JP26" s="217">
        <v>4</v>
      </c>
      <c r="JQ26" s="217">
        <v>4</v>
      </c>
      <c r="JR26" s="218">
        <v>4</v>
      </c>
      <c r="JS26" s="218">
        <v>4</v>
      </c>
      <c r="JT26" s="216">
        <v>8</v>
      </c>
      <c r="JU26" s="217">
        <v>10</v>
      </c>
      <c r="JV26" s="217">
        <v>10</v>
      </c>
      <c r="JW26" s="218">
        <v>10</v>
      </c>
      <c r="JX26" s="218">
        <v>8</v>
      </c>
      <c r="JY26" s="218">
        <v>4</v>
      </c>
      <c r="JZ26" s="218">
        <v>2</v>
      </c>
      <c r="KA26" s="218">
        <v>4</v>
      </c>
      <c r="KB26" s="23" t="s">
        <v>160</v>
      </c>
      <c r="KC26" s="23" t="s">
        <v>160</v>
      </c>
      <c r="KD26" s="216">
        <v>10</v>
      </c>
      <c r="KE26" s="217">
        <v>4</v>
      </c>
      <c r="KF26" s="217">
        <v>4</v>
      </c>
      <c r="KG26" s="217">
        <v>2</v>
      </c>
      <c r="KH26" s="217">
        <v>4</v>
      </c>
      <c r="KI26" s="217">
        <v>2</v>
      </c>
      <c r="KJ26" s="217">
        <v>4</v>
      </c>
      <c r="KK26" s="217">
        <v>2</v>
      </c>
      <c r="KL26" s="217">
        <v>4</v>
      </c>
      <c r="KM26" s="217">
        <v>4</v>
      </c>
      <c r="KN26" s="218">
        <v>4</v>
      </c>
      <c r="KO26" s="218">
        <v>4</v>
      </c>
      <c r="KP26" s="216">
        <v>8</v>
      </c>
      <c r="KQ26" s="217">
        <v>10</v>
      </c>
      <c r="KR26" s="217">
        <v>10</v>
      </c>
      <c r="KS26" s="218">
        <v>10</v>
      </c>
      <c r="KT26" s="218">
        <v>9</v>
      </c>
      <c r="KU26" s="218">
        <v>4</v>
      </c>
      <c r="KV26" s="218">
        <v>2</v>
      </c>
      <c r="KW26" s="218">
        <v>4</v>
      </c>
      <c r="KX26" s="23" t="s">
        <v>160</v>
      </c>
      <c r="KY26" s="23" t="s">
        <v>160</v>
      </c>
      <c r="KZ26" s="216">
        <v>10</v>
      </c>
    </row>
    <row r="27" spans="2:312" s="23" customFormat="1">
      <c r="B27" s="345"/>
      <c r="C27" s="23" t="s">
        <v>87</v>
      </c>
      <c r="D27" s="23" t="s">
        <v>84</v>
      </c>
      <c r="E27" s="216">
        <v>2</v>
      </c>
      <c r="F27" s="216">
        <v>4</v>
      </c>
      <c r="G27" s="216">
        <v>2</v>
      </c>
      <c r="H27" s="216">
        <v>2</v>
      </c>
      <c r="I27" s="216">
        <v>2</v>
      </c>
      <c r="J27" s="216">
        <v>2</v>
      </c>
      <c r="K27" s="216">
        <v>2</v>
      </c>
      <c r="L27" s="216">
        <v>2</v>
      </c>
      <c r="M27" s="216">
        <v>2</v>
      </c>
      <c r="N27" s="216">
        <v>4</v>
      </c>
      <c r="O27" s="216">
        <v>4</v>
      </c>
      <c r="P27" s="217">
        <v>10</v>
      </c>
      <c r="Q27" s="217">
        <v>10</v>
      </c>
      <c r="R27" s="217">
        <v>10</v>
      </c>
      <c r="S27" s="216">
        <v>6</v>
      </c>
      <c r="T27" s="217">
        <v>10</v>
      </c>
      <c r="U27" s="217">
        <v>2</v>
      </c>
      <c r="V27" s="216">
        <v>6</v>
      </c>
      <c r="W27" s="216">
        <v>6</v>
      </c>
      <c r="Z27" s="216">
        <v>8</v>
      </c>
      <c r="AA27" s="216">
        <v>4</v>
      </c>
      <c r="AB27" s="216">
        <v>6</v>
      </c>
      <c r="AC27" s="216">
        <v>4</v>
      </c>
      <c r="AD27" s="216">
        <v>4</v>
      </c>
      <c r="AE27" s="216">
        <v>4</v>
      </c>
      <c r="AF27" s="216">
        <v>4</v>
      </c>
      <c r="AG27" s="216">
        <v>4</v>
      </c>
      <c r="AH27" s="216">
        <v>4</v>
      </c>
      <c r="AI27" s="216">
        <v>4</v>
      </c>
      <c r="AJ27" s="216">
        <v>6</v>
      </c>
      <c r="AK27" s="216">
        <v>6</v>
      </c>
      <c r="AL27" s="217">
        <v>8</v>
      </c>
      <c r="AM27" s="217">
        <v>10</v>
      </c>
      <c r="AN27" s="217">
        <v>10</v>
      </c>
      <c r="AO27" s="216">
        <v>6</v>
      </c>
      <c r="AP27" s="217">
        <v>10</v>
      </c>
      <c r="AQ27" s="217">
        <v>2</v>
      </c>
      <c r="AR27" s="216">
        <v>6</v>
      </c>
      <c r="AS27" s="216">
        <v>6</v>
      </c>
      <c r="AV27" s="216">
        <v>8</v>
      </c>
      <c r="AW27" s="216">
        <v>4</v>
      </c>
      <c r="AX27" s="216">
        <v>6</v>
      </c>
      <c r="AY27" s="216">
        <v>4</v>
      </c>
      <c r="AZ27" s="216">
        <v>4</v>
      </c>
      <c r="BA27" s="216">
        <v>4</v>
      </c>
      <c r="BB27" s="216">
        <v>4</v>
      </c>
      <c r="BC27" s="216">
        <v>4</v>
      </c>
      <c r="BD27" s="216">
        <v>4</v>
      </c>
      <c r="BE27" s="216">
        <v>4</v>
      </c>
      <c r="BF27" s="216">
        <v>6</v>
      </c>
      <c r="BG27" s="216">
        <v>6</v>
      </c>
      <c r="BH27" s="217">
        <v>8</v>
      </c>
      <c r="BI27" s="217">
        <v>10</v>
      </c>
      <c r="BJ27" s="217">
        <v>10</v>
      </c>
      <c r="BK27" s="216">
        <v>6</v>
      </c>
      <c r="BL27" s="217">
        <v>10</v>
      </c>
      <c r="BM27" s="217">
        <v>2</v>
      </c>
      <c r="BN27" s="216">
        <v>6</v>
      </c>
      <c r="BO27" s="216">
        <v>6</v>
      </c>
      <c r="BR27" s="216">
        <v>8</v>
      </c>
      <c r="BS27" s="216">
        <v>2</v>
      </c>
      <c r="BT27" s="216">
        <v>4</v>
      </c>
      <c r="BU27" s="216">
        <v>2</v>
      </c>
      <c r="BV27" s="216">
        <v>2</v>
      </c>
      <c r="BW27" s="216">
        <v>2</v>
      </c>
      <c r="BX27" s="216">
        <v>2</v>
      </c>
      <c r="BY27" s="216">
        <v>2</v>
      </c>
      <c r="BZ27" s="216">
        <v>2</v>
      </c>
      <c r="CA27" s="216">
        <v>2</v>
      </c>
      <c r="CB27" s="216">
        <v>4</v>
      </c>
      <c r="CC27" s="216">
        <v>4</v>
      </c>
      <c r="CD27" s="217">
        <v>10</v>
      </c>
      <c r="CE27" s="217">
        <v>10</v>
      </c>
      <c r="CF27" s="217">
        <v>10</v>
      </c>
      <c r="CG27" s="216">
        <v>6</v>
      </c>
      <c r="CH27" s="217">
        <v>10</v>
      </c>
      <c r="CI27" s="217">
        <v>2</v>
      </c>
      <c r="CJ27" s="216">
        <v>6</v>
      </c>
      <c r="CK27" s="216">
        <v>6</v>
      </c>
      <c r="CN27" s="216">
        <v>8</v>
      </c>
      <c r="CO27" s="216">
        <v>4</v>
      </c>
      <c r="CP27" s="216">
        <v>6</v>
      </c>
      <c r="CQ27" s="216">
        <v>4</v>
      </c>
      <c r="CR27" s="216">
        <v>4</v>
      </c>
      <c r="CS27" s="216">
        <v>4</v>
      </c>
      <c r="CT27" s="216">
        <v>4</v>
      </c>
      <c r="CU27" s="216">
        <v>4</v>
      </c>
      <c r="CV27" s="216">
        <v>4</v>
      </c>
      <c r="CW27" s="216">
        <v>4</v>
      </c>
      <c r="CX27" s="216">
        <v>6</v>
      </c>
      <c r="CY27" s="216">
        <v>6</v>
      </c>
      <c r="CZ27" s="217">
        <v>8</v>
      </c>
      <c r="DA27" s="217">
        <v>10</v>
      </c>
      <c r="DB27" s="217">
        <v>10</v>
      </c>
      <c r="DC27" s="216">
        <v>6</v>
      </c>
      <c r="DD27" s="217">
        <v>10</v>
      </c>
      <c r="DE27" s="217">
        <v>2</v>
      </c>
      <c r="DF27" s="216">
        <v>6</v>
      </c>
      <c r="DG27" s="216">
        <v>6</v>
      </c>
      <c r="DJ27" s="216">
        <v>8</v>
      </c>
      <c r="DK27" s="216">
        <v>4</v>
      </c>
      <c r="DL27" s="216">
        <v>6</v>
      </c>
      <c r="DM27" s="216">
        <v>4</v>
      </c>
      <c r="DN27" s="216">
        <v>4</v>
      </c>
      <c r="DO27" s="216">
        <v>4</v>
      </c>
      <c r="DP27" s="216">
        <v>4</v>
      </c>
      <c r="DQ27" s="216">
        <v>4</v>
      </c>
      <c r="DR27" s="216">
        <v>4</v>
      </c>
      <c r="DS27" s="216">
        <v>4</v>
      </c>
      <c r="DT27" s="216">
        <v>6</v>
      </c>
      <c r="DU27" s="216">
        <v>6</v>
      </c>
      <c r="DV27" s="217">
        <v>8</v>
      </c>
      <c r="DW27" s="217">
        <v>10</v>
      </c>
      <c r="DX27" s="217">
        <v>10</v>
      </c>
      <c r="DY27" s="216">
        <v>6</v>
      </c>
      <c r="DZ27" s="217">
        <v>10</v>
      </c>
      <c r="EA27" s="217">
        <v>2</v>
      </c>
      <c r="EB27" s="216">
        <v>6</v>
      </c>
      <c r="EC27" s="216">
        <v>6</v>
      </c>
      <c r="EF27" s="216">
        <v>8</v>
      </c>
      <c r="EG27" s="216">
        <v>2</v>
      </c>
      <c r="EH27" s="216">
        <v>4</v>
      </c>
      <c r="EI27" s="216">
        <v>2</v>
      </c>
      <c r="EJ27" s="216">
        <v>2</v>
      </c>
      <c r="EK27" s="216">
        <v>2</v>
      </c>
      <c r="EL27" s="216">
        <v>2</v>
      </c>
      <c r="EM27" s="216">
        <v>2</v>
      </c>
      <c r="EN27" s="216">
        <v>2</v>
      </c>
      <c r="EO27" s="216">
        <v>2</v>
      </c>
      <c r="EP27" s="216">
        <v>4</v>
      </c>
      <c r="EQ27" s="216">
        <v>4</v>
      </c>
      <c r="ER27" s="217">
        <v>10</v>
      </c>
      <c r="ES27" s="217">
        <v>10</v>
      </c>
      <c r="ET27" s="217">
        <v>10</v>
      </c>
      <c r="EU27" s="216">
        <v>6</v>
      </c>
      <c r="EV27" s="217">
        <v>10</v>
      </c>
      <c r="EW27" s="217">
        <v>2</v>
      </c>
      <c r="EX27" s="216">
        <v>6</v>
      </c>
      <c r="EY27" s="216">
        <v>6</v>
      </c>
      <c r="FB27" s="216">
        <v>8</v>
      </c>
      <c r="FC27" s="216">
        <v>4</v>
      </c>
      <c r="FD27" s="216">
        <v>6</v>
      </c>
      <c r="FE27" s="216">
        <v>4</v>
      </c>
      <c r="FF27" s="216">
        <v>4</v>
      </c>
      <c r="FG27" s="216">
        <v>4</v>
      </c>
      <c r="FH27" s="216">
        <v>4</v>
      </c>
      <c r="FI27" s="216">
        <v>4</v>
      </c>
      <c r="FJ27" s="216">
        <v>4</v>
      </c>
      <c r="FK27" s="216">
        <v>4</v>
      </c>
      <c r="FL27" s="216">
        <v>6</v>
      </c>
      <c r="FM27" s="216">
        <v>6</v>
      </c>
      <c r="FN27" s="217">
        <v>8</v>
      </c>
      <c r="FO27" s="217">
        <v>10</v>
      </c>
      <c r="FP27" s="217">
        <v>10</v>
      </c>
      <c r="FQ27" s="216">
        <v>6</v>
      </c>
      <c r="FR27" s="217">
        <v>10</v>
      </c>
      <c r="FS27" s="217">
        <v>2</v>
      </c>
      <c r="FT27" s="216">
        <v>6</v>
      </c>
      <c r="FU27" s="216">
        <v>6</v>
      </c>
      <c r="FX27" s="216">
        <v>8</v>
      </c>
      <c r="FY27" s="216">
        <v>4</v>
      </c>
      <c r="FZ27" s="216">
        <v>6</v>
      </c>
      <c r="GA27" s="216">
        <v>4</v>
      </c>
      <c r="GB27" s="216">
        <v>4</v>
      </c>
      <c r="GC27" s="216">
        <v>4</v>
      </c>
      <c r="GD27" s="216">
        <v>4</v>
      </c>
      <c r="GE27" s="216">
        <v>4</v>
      </c>
      <c r="GF27" s="216">
        <v>4</v>
      </c>
      <c r="GG27" s="216">
        <v>4</v>
      </c>
      <c r="GH27" s="216">
        <v>6</v>
      </c>
      <c r="GI27" s="216">
        <v>6</v>
      </c>
      <c r="GJ27" s="217">
        <v>8</v>
      </c>
      <c r="GK27" s="217">
        <v>10</v>
      </c>
      <c r="GL27" s="217">
        <v>10</v>
      </c>
      <c r="GM27" s="216">
        <v>6</v>
      </c>
      <c r="GN27" s="217">
        <v>10</v>
      </c>
      <c r="GO27" s="217">
        <v>2</v>
      </c>
      <c r="GP27" s="216">
        <v>6</v>
      </c>
      <c r="GQ27" s="216">
        <v>6</v>
      </c>
      <c r="GT27" s="216">
        <v>8</v>
      </c>
      <c r="GU27" s="216">
        <v>2</v>
      </c>
      <c r="GV27" s="216">
        <v>4</v>
      </c>
      <c r="GW27" s="216">
        <v>2</v>
      </c>
      <c r="GX27" s="216">
        <v>2</v>
      </c>
      <c r="GY27" s="216">
        <v>2</v>
      </c>
      <c r="GZ27" s="216">
        <v>2</v>
      </c>
      <c r="HA27" s="216">
        <v>2</v>
      </c>
      <c r="HB27" s="216">
        <v>2</v>
      </c>
      <c r="HC27" s="216">
        <v>2</v>
      </c>
      <c r="HD27" s="216">
        <v>4</v>
      </c>
      <c r="HE27" s="216">
        <v>4</v>
      </c>
      <c r="HF27" s="217">
        <v>10</v>
      </c>
      <c r="HG27" s="217">
        <v>10</v>
      </c>
      <c r="HH27" s="217">
        <v>10</v>
      </c>
      <c r="HI27" s="216">
        <v>6</v>
      </c>
      <c r="HJ27" s="217">
        <v>10</v>
      </c>
      <c r="HK27" s="217">
        <v>2</v>
      </c>
      <c r="HL27" s="216">
        <v>6</v>
      </c>
      <c r="HM27" s="216">
        <v>6</v>
      </c>
      <c r="HP27" s="216">
        <v>8</v>
      </c>
      <c r="HQ27" s="216">
        <v>2</v>
      </c>
      <c r="HR27" s="216">
        <v>4</v>
      </c>
      <c r="HS27" s="216">
        <v>2</v>
      </c>
      <c r="HT27" s="216">
        <v>2</v>
      </c>
      <c r="HU27" s="216">
        <v>2</v>
      </c>
      <c r="HV27" s="216">
        <v>2</v>
      </c>
      <c r="HW27" s="216">
        <v>2</v>
      </c>
      <c r="HX27" s="216">
        <v>2</v>
      </c>
      <c r="HY27" s="216">
        <v>2</v>
      </c>
      <c r="HZ27" s="216">
        <v>4</v>
      </c>
      <c r="IA27" s="216">
        <v>4</v>
      </c>
      <c r="IB27" s="217">
        <v>10</v>
      </c>
      <c r="IC27" s="217">
        <v>10</v>
      </c>
      <c r="ID27" s="217">
        <v>10</v>
      </c>
      <c r="IE27" s="216">
        <v>6</v>
      </c>
      <c r="IF27" s="217">
        <v>10</v>
      </c>
      <c r="IG27" s="217">
        <v>2</v>
      </c>
      <c r="IH27" s="216">
        <v>6</v>
      </c>
      <c r="II27" s="216">
        <v>6</v>
      </c>
      <c r="IL27" s="216">
        <v>8</v>
      </c>
      <c r="IM27" s="216">
        <v>4</v>
      </c>
      <c r="IN27" s="216">
        <v>6</v>
      </c>
      <c r="IO27" s="216">
        <v>4</v>
      </c>
      <c r="IP27" s="216">
        <v>4</v>
      </c>
      <c r="IQ27" s="216">
        <v>4</v>
      </c>
      <c r="IR27" s="216">
        <v>4</v>
      </c>
      <c r="IS27" s="216">
        <v>4</v>
      </c>
      <c r="IT27" s="216">
        <v>4</v>
      </c>
      <c r="IU27" s="216">
        <v>4</v>
      </c>
      <c r="IV27" s="216">
        <v>6</v>
      </c>
      <c r="IW27" s="216">
        <v>6</v>
      </c>
      <c r="IX27" s="217">
        <v>8</v>
      </c>
      <c r="IY27" s="217">
        <v>10</v>
      </c>
      <c r="IZ27" s="217">
        <v>10</v>
      </c>
      <c r="JA27" s="216">
        <v>6</v>
      </c>
      <c r="JB27" s="217">
        <v>10</v>
      </c>
      <c r="JC27" s="217">
        <v>2</v>
      </c>
      <c r="JD27" s="216">
        <v>6</v>
      </c>
      <c r="JE27" s="216">
        <v>6</v>
      </c>
      <c r="JH27" s="216">
        <v>8</v>
      </c>
      <c r="JI27" s="216">
        <v>2</v>
      </c>
      <c r="JJ27" s="216">
        <v>4</v>
      </c>
      <c r="JK27" s="216">
        <v>2</v>
      </c>
      <c r="JL27" s="216">
        <v>2</v>
      </c>
      <c r="JM27" s="216">
        <v>2</v>
      </c>
      <c r="JN27" s="216">
        <v>2</v>
      </c>
      <c r="JO27" s="216">
        <v>2</v>
      </c>
      <c r="JP27" s="216">
        <v>2</v>
      </c>
      <c r="JQ27" s="216">
        <v>2</v>
      </c>
      <c r="JR27" s="216">
        <v>4</v>
      </c>
      <c r="JS27" s="216">
        <v>4</v>
      </c>
      <c r="JT27" s="217">
        <v>10</v>
      </c>
      <c r="JU27" s="217">
        <v>10</v>
      </c>
      <c r="JV27" s="217">
        <v>10</v>
      </c>
      <c r="JW27" s="216">
        <v>6</v>
      </c>
      <c r="JX27" s="217">
        <v>10</v>
      </c>
      <c r="JY27" s="217">
        <v>2</v>
      </c>
      <c r="JZ27" s="216">
        <v>6</v>
      </c>
      <c r="KA27" s="216">
        <v>6</v>
      </c>
      <c r="KD27" s="216">
        <v>8</v>
      </c>
      <c r="KE27" s="216">
        <v>4</v>
      </c>
      <c r="KF27" s="216">
        <v>6</v>
      </c>
      <c r="KG27" s="216">
        <v>3</v>
      </c>
      <c r="KH27" s="216">
        <v>3</v>
      </c>
      <c r="KI27" s="216">
        <v>3</v>
      </c>
      <c r="KJ27" s="216">
        <v>3</v>
      </c>
      <c r="KK27" s="216">
        <v>3</v>
      </c>
      <c r="KL27" s="216">
        <v>3</v>
      </c>
      <c r="KM27" s="216">
        <v>3</v>
      </c>
      <c r="KN27" s="216">
        <v>5</v>
      </c>
      <c r="KO27" s="216">
        <v>5</v>
      </c>
      <c r="KP27" s="217">
        <v>9</v>
      </c>
      <c r="KQ27" s="217">
        <v>10</v>
      </c>
      <c r="KR27" s="217">
        <v>10</v>
      </c>
      <c r="KS27" s="216">
        <v>5</v>
      </c>
      <c r="KT27" s="217">
        <v>10</v>
      </c>
      <c r="KU27" s="217">
        <v>2</v>
      </c>
      <c r="KV27" s="216">
        <v>6</v>
      </c>
      <c r="KW27" s="216">
        <v>6</v>
      </c>
      <c r="KZ27" s="216">
        <v>8</v>
      </c>
    </row>
    <row r="28" spans="2:312" s="23" customFormat="1">
      <c r="B28" s="345"/>
      <c r="C28" s="23" t="s">
        <v>88</v>
      </c>
      <c r="D28" s="23" t="s">
        <v>84</v>
      </c>
      <c r="E28" s="23" t="s">
        <v>160</v>
      </c>
      <c r="F28" s="23" t="s">
        <v>160</v>
      </c>
      <c r="G28" s="23" t="s">
        <v>160</v>
      </c>
      <c r="H28" s="23" t="s">
        <v>160</v>
      </c>
      <c r="I28" s="23" t="s">
        <v>160</v>
      </c>
      <c r="J28" s="23" t="s">
        <v>160</v>
      </c>
      <c r="K28" s="23" t="s">
        <v>160</v>
      </c>
      <c r="L28" s="23" t="s">
        <v>160</v>
      </c>
      <c r="M28" s="23" t="s">
        <v>160</v>
      </c>
      <c r="N28" s="23" t="s">
        <v>160</v>
      </c>
      <c r="O28" s="23" t="s">
        <v>160</v>
      </c>
      <c r="P28" s="23" t="s">
        <v>160</v>
      </c>
      <c r="Q28" s="23" t="s">
        <v>160</v>
      </c>
      <c r="R28" s="23" t="s">
        <v>160</v>
      </c>
      <c r="S28" s="23" t="s">
        <v>160</v>
      </c>
      <c r="T28" s="23" t="s">
        <v>160</v>
      </c>
      <c r="U28" s="23" t="s">
        <v>160</v>
      </c>
      <c r="V28" s="23" t="s">
        <v>160</v>
      </c>
      <c r="W28" s="23" t="s">
        <v>160</v>
      </c>
      <c r="X28" s="23" t="s">
        <v>160</v>
      </c>
      <c r="Y28" s="23" t="s">
        <v>160</v>
      </c>
      <c r="Z28" s="23" t="s">
        <v>160</v>
      </c>
      <c r="AA28" s="330">
        <v>4</v>
      </c>
      <c r="AB28" s="212">
        <v>6</v>
      </c>
      <c r="AC28" s="212">
        <v>2</v>
      </c>
      <c r="AD28" s="212">
        <v>4</v>
      </c>
      <c r="AE28" s="212">
        <v>2</v>
      </c>
      <c r="AF28" s="212">
        <v>4</v>
      </c>
      <c r="AG28" s="212">
        <v>4</v>
      </c>
      <c r="AH28" s="212">
        <v>6</v>
      </c>
      <c r="AI28" s="212">
        <v>2</v>
      </c>
      <c r="AJ28" s="213">
        <v>6</v>
      </c>
      <c r="AK28" s="213">
        <v>8</v>
      </c>
      <c r="AL28" s="214">
        <v>8</v>
      </c>
      <c r="AM28" s="214">
        <v>10</v>
      </c>
      <c r="AN28" s="214">
        <v>10</v>
      </c>
      <c r="AO28" s="213">
        <v>8</v>
      </c>
      <c r="AP28" s="214">
        <v>10</v>
      </c>
      <c r="AQ28" s="213">
        <v>4</v>
      </c>
      <c r="AR28" s="213">
        <v>4</v>
      </c>
      <c r="AS28" s="213">
        <v>6</v>
      </c>
      <c r="AT28"/>
      <c r="AU28"/>
      <c r="AV28" s="212">
        <v>8</v>
      </c>
      <c r="BS28" s="212">
        <v>3</v>
      </c>
      <c r="BT28" s="212">
        <v>5</v>
      </c>
      <c r="BU28" s="212">
        <v>2</v>
      </c>
      <c r="BV28" s="212">
        <v>4</v>
      </c>
      <c r="BW28" s="212">
        <v>2</v>
      </c>
      <c r="BX28" s="212">
        <v>4</v>
      </c>
      <c r="BY28" s="212">
        <v>3</v>
      </c>
      <c r="BZ28" s="212">
        <v>5</v>
      </c>
      <c r="CA28" s="212">
        <v>2</v>
      </c>
      <c r="CB28" s="213">
        <v>7</v>
      </c>
      <c r="CC28" s="213">
        <v>8</v>
      </c>
      <c r="CD28" s="214">
        <v>8</v>
      </c>
      <c r="CE28" s="214">
        <v>9</v>
      </c>
      <c r="CF28" s="214">
        <v>10</v>
      </c>
      <c r="CG28" s="213">
        <v>8</v>
      </c>
      <c r="CH28" s="214">
        <v>10</v>
      </c>
      <c r="CI28" s="213">
        <v>4</v>
      </c>
      <c r="CJ28" s="213">
        <v>4</v>
      </c>
      <c r="CK28" s="213">
        <v>6</v>
      </c>
      <c r="CL28"/>
      <c r="CM28" s="215" t="s">
        <v>160</v>
      </c>
      <c r="CN28" s="212">
        <v>8</v>
      </c>
      <c r="EG28" s="330">
        <v>4</v>
      </c>
      <c r="EH28" s="212">
        <v>6</v>
      </c>
      <c r="EI28" s="212">
        <v>2</v>
      </c>
      <c r="EJ28" s="212">
        <v>4</v>
      </c>
      <c r="EK28" s="212">
        <v>2</v>
      </c>
      <c r="EL28" s="212">
        <v>4</v>
      </c>
      <c r="EM28" s="212">
        <v>4</v>
      </c>
      <c r="EN28" s="212">
        <v>6</v>
      </c>
      <c r="EO28" s="212">
        <v>2</v>
      </c>
      <c r="EP28" s="213">
        <v>6</v>
      </c>
      <c r="EQ28" s="213">
        <v>8</v>
      </c>
      <c r="ER28" s="214">
        <v>8</v>
      </c>
      <c r="ES28" s="214">
        <v>10</v>
      </c>
      <c r="ET28" s="214">
        <v>10</v>
      </c>
      <c r="EU28" s="213">
        <v>8</v>
      </c>
      <c r="EV28" s="214">
        <v>10</v>
      </c>
      <c r="EW28" s="213">
        <v>4</v>
      </c>
      <c r="EX28" s="213">
        <v>4</v>
      </c>
      <c r="EY28" s="213">
        <v>6</v>
      </c>
      <c r="EZ28"/>
      <c r="FA28"/>
      <c r="FB28" s="212">
        <v>8</v>
      </c>
      <c r="FY28" s="330">
        <v>4</v>
      </c>
      <c r="FZ28" s="212">
        <v>6</v>
      </c>
      <c r="GA28" s="212">
        <v>2</v>
      </c>
      <c r="GB28" s="212">
        <v>4</v>
      </c>
      <c r="GC28" s="212">
        <v>2</v>
      </c>
      <c r="GD28" s="212">
        <v>4</v>
      </c>
      <c r="GE28" s="212">
        <v>4</v>
      </c>
      <c r="GF28" s="212">
        <v>6</v>
      </c>
      <c r="GG28" s="212">
        <v>2</v>
      </c>
      <c r="GH28" s="213">
        <v>6</v>
      </c>
      <c r="GI28" s="213">
        <v>8</v>
      </c>
      <c r="GJ28" s="214">
        <v>8</v>
      </c>
      <c r="GK28" s="214">
        <v>10</v>
      </c>
      <c r="GL28" s="214">
        <v>10</v>
      </c>
      <c r="GM28" s="213">
        <v>8</v>
      </c>
      <c r="GN28" s="214">
        <v>10</v>
      </c>
      <c r="GO28" s="213">
        <v>4</v>
      </c>
      <c r="GP28" s="213">
        <v>4</v>
      </c>
      <c r="GQ28" s="213">
        <v>6</v>
      </c>
      <c r="GR28"/>
      <c r="GS28"/>
      <c r="GT28" s="212">
        <v>8</v>
      </c>
      <c r="GU28" s="212">
        <v>3</v>
      </c>
      <c r="GV28" s="212">
        <v>5</v>
      </c>
      <c r="GW28" s="212">
        <v>2</v>
      </c>
      <c r="GX28" s="212">
        <v>4</v>
      </c>
      <c r="GY28" s="212">
        <v>2</v>
      </c>
      <c r="GZ28" s="212">
        <v>4</v>
      </c>
      <c r="HA28" s="212">
        <v>3</v>
      </c>
      <c r="HB28" s="212">
        <v>5</v>
      </c>
      <c r="HC28" s="212">
        <v>2</v>
      </c>
      <c r="HD28" s="213">
        <v>7</v>
      </c>
      <c r="HE28" s="213">
        <v>8</v>
      </c>
      <c r="HF28" s="214">
        <v>8</v>
      </c>
      <c r="HG28" s="214">
        <v>9</v>
      </c>
      <c r="HH28" s="214">
        <v>10</v>
      </c>
      <c r="HI28" s="213">
        <v>8</v>
      </c>
      <c r="HJ28" s="214">
        <v>10</v>
      </c>
      <c r="HK28" s="213">
        <v>4</v>
      </c>
      <c r="HL28" s="213">
        <v>4</v>
      </c>
      <c r="HM28" s="213">
        <v>6</v>
      </c>
      <c r="HN28"/>
      <c r="HO28"/>
      <c r="HP28" s="214">
        <v>8</v>
      </c>
      <c r="HQ28" s="212">
        <v>3</v>
      </c>
      <c r="HR28" s="212">
        <v>5</v>
      </c>
      <c r="HS28" s="212">
        <v>2</v>
      </c>
      <c r="HT28" s="212">
        <v>4</v>
      </c>
      <c r="HU28" s="212">
        <v>2</v>
      </c>
      <c r="HV28" s="212">
        <v>4</v>
      </c>
      <c r="HW28" s="212">
        <v>3</v>
      </c>
      <c r="HX28" s="212">
        <v>5</v>
      </c>
      <c r="HY28" s="212">
        <v>2</v>
      </c>
      <c r="HZ28" s="213">
        <v>7</v>
      </c>
      <c r="IA28" s="213">
        <v>8</v>
      </c>
      <c r="IB28" s="214">
        <v>8</v>
      </c>
      <c r="IC28" s="214">
        <v>9</v>
      </c>
      <c r="ID28" s="214">
        <v>10</v>
      </c>
      <c r="IE28" s="213">
        <v>8</v>
      </c>
      <c r="IF28" s="214">
        <v>10</v>
      </c>
      <c r="IG28" s="213">
        <v>4</v>
      </c>
      <c r="IH28" s="213">
        <v>4</v>
      </c>
      <c r="II28" s="213">
        <v>6</v>
      </c>
      <c r="IJ28" s="215" t="s">
        <v>160</v>
      </c>
      <c r="IK28" s="215" t="s">
        <v>160</v>
      </c>
      <c r="IL28" s="214">
        <v>8</v>
      </c>
      <c r="JI28" s="212">
        <v>3</v>
      </c>
      <c r="JJ28" s="212">
        <v>5</v>
      </c>
      <c r="JK28" s="212">
        <v>2</v>
      </c>
      <c r="JL28" s="212">
        <v>4</v>
      </c>
      <c r="JM28" s="212">
        <v>2</v>
      </c>
      <c r="JN28" s="212">
        <v>4</v>
      </c>
      <c r="JO28" s="212">
        <v>3</v>
      </c>
      <c r="JP28" s="212">
        <v>5</v>
      </c>
      <c r="JQ28" s="212">
        <v>2</v>
      </c>
      <c r="JR28" s="213">
        <v>7</v>
      </c>
      <c r="JS28" s="213">
        <v>8</v>
      </c>
      <c r="JT28" s="214">
        <v>8</v>
      </c>
      <c r="JU28" s="214">
        <v>9</v>
      </c>
      <c r="JV28" s="214">
        <v>10</v>
      </c>
      <c r="JW28" s="213">
        <v>8</v>
      </c>
      <c r="JX28" s="214">
        <v>10</v>
      </c>
      <c r="JY28" s="213">
        <v>4</v>
      </c>
      <c r="JZ28" s="213">
        <v>4</v>
      </c>
      <c r="KA28" s="213">
        <v>6</v>
      </c>
      <c r="KB28" s="215" t="s">
        <v>160</v>
      </c>
      <c r="KC28" s="215" t="s">
        <v>160</v>
      </c>
      <c r="KD28" s="214">
        <v>8</v>
      </c>
      <c r="KE28" s="212">
        <v>3</v>
      </c>
      <c r="KF28" s="212">
        <v>5</v>
      </c>
      <c r="KG28" s="212">
        <v>2</v>
      </c>
      <c r="KH28" s="212">
        <v>4</v>
      </c>
      <c r="KI28" s="212">
        <v>2</v>
      </c>
      <c r="KJ28" s="212">
        <v>4</v>
      </c>
      <c r="KK28" s="212">
        <v>3</v>
      </c>
      <c r="KL28" s="212">
        <v>5</v>
      </c>
      <c r="KM28" s="212">
        <v>2</v>
      </c>
      <c r="KN28" s="213">
        <v>7</v>
      </c>
      <c r="KO28" s="213">
        <v>8</v>
      </c>
      <c r="KP28" s="214">
        <v>8</v>
      </c>
      <c r="KQ28" s="214">
        <v>9</v>
      </c>
      <c r="KR28" s="214">
        <v>10</v>
      </c>
      <c r="KS28" s="213">
        <v>8</v>
      </c>
      <c r="KT28" s="214">
        <v>10</v>
      </c>
      <c r="KU28" s="213">
        <v>4</v>
      </c>
      <c r="KV28" s="213">
        <v>4</v>
      </c>
      <c r="KW28" s="213">
        <v>6</v>
      </c>
      <c r="KX28" s="215"/>
      <c r="KY28"/>
      <c r="KZ28" s="214">
        <v>8</v>
      </c>
    </row>
    <row r="29" spans="2:312" s="23" customFormat="1">
      <c r="B29" s="345"/>
      <c r="C29" s="23" t="s">
        <v>89</v>
      </c>
      <c r="D29" s="23" t="s">
        <v>84</v>
      </c>
      <c r="E29" s="217">
        <v>6</v>
      </c>
      <c r="F29" s="217">
        <v>6</v>
      </c>
      <c r="G29" s="217">
        <v>6</v>
      </c>
      <c r="H29" s="217">
        <v>4</v>
      </c>
      <c r="I29" s="217">
        <v>6</v>
      </c>
      <c r="J29" s="217">
        <v>4</v>
      </c>
      <c r="K29" s="217">
        <v>6</v>
      </c>
      <c r="L29" s="217">
        <v>4</v>
      </c>
      <c r="M29" s="217">
        <v>4</v>
      </c>
      <c r="N29" s="218">
        <v>4</v>
      </c>
      <c r="O29" s="218">
        <v>4</v>
      </c>
      <c r="P29" s="216">
        <v>8</v>
      </c>
      <c r="Q29" s="217">
        <v>8</v>
      </c>
      <c r="R29" s="216">
        <v>8</v>
      </c>
      <c r="S29" s="218">
        <v>8</v>
      </c>
      <c r="T29" s="218">
        <v>10</v>
      </c>
      <c r="U29" s="218">
        <v>4</v>
      </c>
      <c r="V29" s="218">
        <v>4</v>
      </c>
      <c r="W29" s="218">
        <v>4</v>
      </c>
      <c r="X29" s="216">
        <v>6</v>
      </c>
      <c r="Y29" s="218">
        <v>6</v>
      </c>
      <c r="Z29" s="216">
        <v>8</v>
      </c>
      <c r="AA29" s="217">
        <v>4</v>
      </c>
      <c r="AB29" s="217">
        <v>4</v>
      </c>
      <c r="AC29" s="217">
        <v>4</v>
      </c>
      <c r="AD29" s="217">
        <v>2</v>
      </c>
      <c r="AE29" s="217">
        <v>4</v>
      </c>
      <c r="AF29" s="217">
        <v>2</v>
      </c>
      <c r="AG29" s="217">
        <v>4</v>
      </c>
      <c r="AH29" s="217">
        <v>4</v>
      </c>
      <c r="AI29" s="217">
        <v>2</v>
      </c>
      <c r="AJ29" s="218">
        <v>4</v>
      </c>
      <c r="AK29" s="218">
        <v>4</v>
      </c>
      <c r="AL29" s="216">
        <v>8</v>
      </c>
      <c r="AM29" s="217">
        <v>10</v>
      </c>
      <c r="AN29" s="216">
        <v>10</v>
      </c>
      <c r="AO29" s="218">
        <v>8</v>
      </c>
      <c r="AP29" s="218">
        <v>10</v>
      </c>
      <c r="AQ29" s="218">
        <v>4</v>
      </c>
      <c r="AR29" s="218">
        <v>4</v>
      </c>
      <c r="AS29" s="218">
        <v>4</v>
      </c>
      <c r="AT29" s="216">
        <v>6</v>
      </c>
      <c r="AU29" s="218">
        <v>6</v>
      </c>
      <c r="AV29" s="216">
        <v>8</v>
      </c>
      <c r="AW29" s="217" t="s">
        <v>160</v>
      </c>
      <c r="AX29" s="217">
        <v>4</v>
      </c>
      <c r="AY29" s="217" t="s">
        <v>160</v>
      </c>
      <c r="AZ29" s="217">
        <v>6</v>
      </c>
      <c r="BA29" s="217" t="s">
        <v>160</v>
      </c>
      <c r="BB29" s="217">
        <v>6</v>
      </c>
      <c r="BC29" s="217" t="s">
        <v>160</v>
      </c>
      <c r="BD29" s="217">
        <v>6</v>
      </c>
      <c r="BE29" s="217">
        <v>6</v>
      </c>
      <c r="BF29" s="218">
        <v>6</v>
      </c>
      <c r="BG29" s="218">
        <v>4</v>
      </c>
      <c r="BH29" s="216">
        <v>6</v>
      </c>
      <c r="BI29" s="217">
        <v>8</v>
      </c>
      <c r="BJ29" s="216">
        <v>6</v>
      </c>
      <c r="BK29" s="218">
        <v>6</v>
      </c>
      <c r="BL29" s="218">
        <v>10</v>
      </c>
      <c r="BM29" s="218">
        <v>6</v>
      </c>
      <c r="BN29" s="218">
        <v>6</v>
      </c>
      <c r="BO29" s="218">
        <v>6</v>
      </c>
      <c r="BP29" s="216">
        <v>6</v>
      </c>
      <c r="BQ29" s="218">
        <v>6</v>
      </c>
      <c r="BR29" s="216">
        <v>6</v>
      </c>
      <c r="BS29" s="217">
        <v>6</v>
      </c>
      <c r="BT29" s="217">
        <v>4</v>
      </c>
      <c r="BU29" s="217">
        <v>2</v>
      </c>
      <c r="BV29" s="217">
        <v>2</v>
      </c>
      <c r="BW29" s="217">
        <v>4</v>
      </c>
      <c r="BX29" s="217">
        <v>4</v>
      </c>
      <c r="BY29" s="217">
        <v>4</v>
      </c>
      <c r="BZ29" s="217">
        <v>4</v>
      </c>
      <c r="CA29" s="217">
        <v>2</v>
      </c>
      <c r="CB29" s="218">
        <v>4</v>
      </c>
      <c r="CC29" s="218">
        <v>4</v>
      </c>
      <c r="CD29" s="216">
        <v>8</v>
      </c>
      <c r="CE29" s="217">
        <v>10</v>
      </c>
      <c r="CF29" s="216">
        <v>10</v>
      </c>
      <c r="CG29" s="218">
        <v>8</v>
      </c>
      <c r="CH29" s="218">
        <v>10</v>
      </c>
      <c r="CI29" s="218">
        <v>4</v>
      </c>
      <c r="CJ29" s="218">
        <v>4</v>
      </c>
      <c r="CK29" s="218">
        <v>4</v>
      </c>
      <c r="CL29" s="216">
        <v>6</v>
      </c>
      <c r="CM29" s="218">
        <v>6</v>
      </c>
      <c r="CN29" s="216">
        <v>8</v>
      </c>
      <c r="CO29" s="217">
        <v>4</v>
      </c>
      <c r="CP29" s="217">
        <v>4</v>
      </c>
      <c r="CQ29" s="217">
        <v>4</v>
      </c>
      <c r="CR29" s="217">
        <v>2</v>
      </c>
      <c r="CS29" s="217">
        <v>4</v>
      </c>
      <c r="CT29" s="217">
        <v>2</v>
      </c>
      <c r="CU29" s="217">
        <v>4</v>
      </c>
      <c r="CV29" s="217">
        <v>4</v>
      </c>
      <c r="CW29" s="217">
        <v>2</v>
      </c>
      <c r="CX29" s="218">
        <v>4</v>
      </c>
      <c r="CY29" s="218">
        <v>4</v>
      </c>
      <c r="CZ29" s="216">
        <v>8</v>
      </c>
      <c r="DA29" s="217">
        <v>10</v>
      </c>
      <c r="DB29" s="216">
        <v>10</v>
      </c>
      <c r="DC29" s="218">
        <v>8</v>
      </c>
      <c r="DD29" s="218">
        <v>10</v>
      </c>
      <c r="DE29" s="218">
        <v>4</v>
      </c>
      <c r="DF29" s="218">
        <v>4</v>
      </c>
      <c r="DG29" s="218">
        <v>4</v>
      </c>
      <c r="DH29" s="216">
        <v>6</v>
      </c>
      <c r="DI29" s="218">
        <v>6</v>
      </c>
      <c r="DJ29" s="216">
        <v>8</v>
      </c>
      <c r="DK29" s="217">
        <v>4</v>
      </c>
      <c r="DL29" s="217">
        <v>4</v>
      </c>
      <c r="DM29" s="217">
        <v>4</v>
      </c>
      <c r="DN29" s="217">
        <v>2</v>
      </c>
      <c r="DO29" s="217">
        <v>4</v>
      </c>
      <c r="DP29" s="217">
        <v>2</v>
      </c>
      <c r="DQ29" s="217">
        <v>4</v>
      </c>
      <c r="DR29" s="217">
        <v>4</v>
      </c>
      <c r="DS29" s="217">
        <v>2</v>
      </c>
      <c r="DT29" s="218">
        <v>4</v>
      </c>
      <c r="DU29" s="218">
        <v>4</v>
      </c>
      <c r="DV29" s="216">
        <v>8</v>
      </c>
      <c r="DW29" s="217">
        <v>10</v>
      </c>
      <c r="DX29" s="216">
        <v>10</v>
      </c>
      <c r="DY29" s="218">
        <v>8</v>
      </c>
      <c r="DZ29" s="218">
        <v>10</v>
      </c>
      <c r="EA29" s="218">
        <v>4</v>
      </c>
      <c r="EB29" s="218">
        <v>4</v>
      </c>
      <c r="EC29" s="218">
        <v>4</v>
      </c>
      <c r="ED29" s="216">
        <v>6</v>
      </c>
      <c r="EE29" s="218">
        <v>6</v>
      </c>
      <c r="EF29" s="216">
        <v>8</v>
      </c>
      <c r="EG29" s="217">
        <v>6</v>
      </c>
      <c r="EH29" s="217">
        <v>4</v>
      </c>
      <c r="EI29" s="217">
        <v>2</v>
      </c>
      <c r="EJ29" s="217">
        <v>2</v>
      </c>
      <c r="EK29" s="217">
        <v>4</v>
      </c>
      <c r="EL29" s="217">
        <v>4</v>
      </c>
      <c r="EM29" s="217">
        <v>6</v>
      </c>
      <c r="EN29" s="217">
        <v>4</v>
      </c>
      <c r="EO29" s="217">
        <v>2</v>
      </c>
      <c r="EP29" s="218">
        <v>4</v>
      </c>
      <c r="EQ29" s="218">
        <v>4</v>
      </c>
      <c r="ER29" s="216">
        <v>8</v>
      </c>
      <c r="ES29" s="217">
        <v>8</v>
      </c>
      <c r="ET29" s="216">
        <v>8</v>
      </c>
      <c r="EU29" s="218">
        <v>8</v>
      </c>
      <c r="EV29" s="218">
        <v>10</v>
      </c>
      <c r="EW29" s="218">
        <v>4</v>
      </c>
      <c r="EX29" s="218">
        <v>4</v>
      </c>
      <c r="EY29" s="218">
        <v>4</v>
      </c>
      <c r="EZ29" s="216">
        <v>6</v>
      </c>
      <c r="FA29" s="218">
        <v>6</v>
      </c>
      <c r="FB29" s="216">
        <v>8</v>
      </c>
      <c r="FC29" s="217">
        <v>4</v>
      </c>
      <c r="FD29" s="217">
        <v>4</v>
      </c>
      <c r="FE29" s="217">
        <v>4</v>
      </c>
      <c r="FF29" s="217">
        <v>2</v>
      </c>
      <c r="FG29" s="217">
        <v>4</v>
      </c>
      <c r="FH29" s="217">
        <v>2</v>
      </c>
      <c r="FI29" s="217">
        <v>4</v>
      </c>
      <c r="FJ29" s="217">
        <v>4</v>
      </c>
      <c r="FK29" s="217">
        <v>2</v>
      </c>
      <c r="FL29" s="218">
        <v>4</v>
      </c>
      <c r="FM29" s="218">
        <v>4</v>
      </c>
      <c r="FN29" s="216">
        <v>8</v>
      </c>
      <c r="FO29" s="217">
        <v>10</v>
      </c>
      <c r="FP29" s="216">
        <v>10</v>
      </c>
      <c r="FQ29" s="218">
        <v>8</v>
      </c>
      <c r="FR29" s="218">
        <v>10</v>
      </c>
      <c r="FS29" s="218">
        <v>4</v>
      </c>
      <c r="FT29" s="218">
        <v>4</v>
      </c>
      <c r="FU29" s="218">
        <v>4</v>
      </c>
      <c r="FV29" s="216">
        <v>6</v>
      </c>
      <c r="FW29" s="218">
        <v>6</v>
      </c>
      <c r="FX29" s="216">
        <v>8</v>
      </c>
      <c r="FY29" s="217">
        <v>4</v>
      </c>
      <c r="FZ29" s="217">
        <v>4</v>
      </c>
      <c r="GA29" s="217">
        <v>4</v>
      </c>
      <c r="GB29" s="217">
        <v>2</v>
      </c>
      <c r="GC29" s="217">
        <v>4</v>
      </c>
      <c r="GD29" s="217">
        <v>2</v>
      </c>
      <c r="GE29" s="217">
        <v>4</v>
      </c>
      <c r="GF29" s="217">
        <v>4</v>
      </c>
      <c r="GG29" s="217">
        <v>2</v>
      </c>
      <c r="GH29" s="218">
        <v>4</v>
      </c>
      <c r="GI29" s="218">
        <v>4</v>
      </c>
      <c r="GJ29" s="216">
        <v>8</v>
      </c>
      <c r="GK29" s="217">
        <v>10</v>
      </c>
      <c r="GL29" s="216">
        <v>10</v>
      </c>
      <c r="GM29" s="218">
        <v>8</v>
      </c>
      <c r="GN29" s="218">
        <v>10</v>
      </c>
      <c r="GO29" s="218">
        <v>4</v>
      </c>
      <c r="GP29" s="218">
        <v>4</v>
      </c>
      <c r="GQ29" s="218">
        <v>4</v>
      </c>
      <c r="GR29" s="216">
        <v>6</v>
      </c>
      <c r="GS29" s="218">
        <v>6</v>
      </c>
      <c r="GT29" s="216">
        <v>8</v>
      </c>
      <c r="GU29" s="217">
        <v>6</v>
      </c>
      <c r="GV29" s="217">
        <v>4</v>
      </c>
      <c r="GW29" s="217">
        <v>2</v>
      </c>
      <c r="GX29" s="217">
        <v>2</v>
      </c>
      <c r="GY29" s="217">
        <v>4</v>
      </c>
      <c r="GZ29" s="217">
        <v>4</v>
      </c>
      <c r="HA29" s="217">
        <v>4</v>
      </c>
      <c r="HB29" s="217">
        <v>4</v>
      </c>
      <c r="HC29" s="217">
        <v>2</v>
      </c>
      <c r="HD29" s="218">
        <v>4</v>
      </c>
      <c r="HE29" s="218">
        <v>4</v>
      </c>
      <c r="HF29" s="216">
        <v>8</v>
      </c>
      <c r="HG29" s="217">
        <v>10</v>
      </c>
      <c r="HH29" s="216">
        <v>10</v>
      </c>
      <c r="HI29" s="218">
        <v>8</v>
      </c>
      <c r="HJ29" s="218">
        <v>10</v>
      </c>
      <c r="HK29" s="218">
        <v>4</v>
      </c>
      <c r="HL29" s="218">
        <v>4</v>
      </c>
      <c r="HM29" s="218">
        <v>4</v>
      </c>
      <c r="HN29" s="216">
        <v>6</v>
      </c>
      <c r="HO29" s="218">
        <v>6</v>
      </c>
      <c r="HP29" s="216">
        <v>8</v>
      </c>
      <c r="HQ29" s="217">
        <v>6</v>
      </c>
      <c r="HR29" s="217">
        <v>4</v>
      </c>
      <c r="HS29" s="217">
        <v>2</v>
      </c>
      <c r="HT29" s="217">
        <v>2</v>
      </c>
      <c r="HU29" s="217">
        <v>4</v>
      </c>
      <c r="HV29" s="217">
        <v>4</v>
      </c>
      <c r="HW29" s="217">
        <v>4</v>
      </c>
      <c r="HX29" s="217">
        <v>4</v>
      </c>
      <c r="HY29" s="217">
        <v>2</v>
      </c>
      <c r="HZ29" s="218">
        <v>4</v>
      </c>
      <c r="IA29" s="218">
        <v>4</v>
      </c>
      <c r="IB29" s="216">
        <v>8</v>
      </c>
      <c r="IC29" s="217">
        <v>10</v>
      </c>
      <c r="ID29" s="216">
        <v>10</v>
      </c>
      <c r="IE29" s="218">
        <v>8</v>
      </c>
      <c r="IF29" s="218">
        <v>10</v>
      </c>
      <c r="IG29" s="218">
        <v>4</v>
      </c>
      <c r="IH29" s="218">
        <v>4</v>
      </c>
      <c r="II29" s="218">
        <v>4</v>
      </c>
      <c r="IJ29" s="216">
        <v>6</v>
      </c>
      <c r="IK29" s="218">
        <v>6</v>
      </c>
      <c r="IL29" s="216">
        <v>8</v>
      </c>
      <c r="IM29" s="217">
        <v>4</v>
      </c>
      <c r="IN29" s="217">
        <v>4</v>
      </c>
      <c r="IO29" s="217">
        <v>4</v>
      </c>
      <c r="IP29" s="217">
        <v>2</v>
      </c>
      <c r="IQ29" s="217">
        <v>4</v>
      </c>
      <c r="IR29" s="217">
        <v>2</v>
      </c>
      <c r="IS29" s="217">
        <v>4</v>
      </c>
      <c r="IT29" s="217">
        <v>4</v>
      </c>
      <c r="IU29" s="217">
        <v>2</v>
      </c>
      <c r="IV29" s="218">
        <v>4</v>
      </c>
      <c r="IW29" s="218">
        <v>4</v>
      </c>
      <c r="IX29" s="216">
        <v>8</v>
      </c>
      <c r="IY29" s="217">
        <v>10</v>
      </c>
      <c r="IZ29" s="216">
        <v>10</v>
      </c>
      <c r="JA29" s="218">
        <v>8</v>
      </c>
      <c r="JB29" s="218">
        <v>10</v>
      </c>
      <c r="JC29" s="218">
        <v>4</v>
      </c>
      <c r="JD29" s="218">
        <v>4</v>
      </c>
      <c r="JE29" s="218">
        <v>4</v>
      </c>
      <c r="JF29" s="216">
        <v>6</v>
      </c>
      <c r="JG29" s="218">
        <v>6</v>
      </c>
      <c r="JH29" s="216">
        <v>8</v>
      </c>
      <c r="JI29" s="217">
        <v>6</v>
      </c>
      <c r="JJ29" s="217">
        <v>4</v>
      </c>
      <c r="JK29" s="217">
        <v>2</v>
      </c>
      <c r="JL29" s="217">
        <v>2</v>
      </c>
      <c r="JM29" s="217">
        <v>4</v>
      </c>
      <c r="JN29" s="217">
        <v>4</v>
      </c>
      <c r="JO29" s="217">
        <v>4</v>
      </c>
      <c r="JP29" s="217">
        <v>4</v>
      </c>
      <c r="JQ29" s="217">
        <v>2</v>
      </c>
      <c r="JR29" s="218">
        <v>4</v>
      </c>
      <c r="JS29" s="218">
        <v>4</v>
      </c>
      <c r="JT29" s="216">
        <v>8</v>
      </c>
      <c r="JU29" s="217">
        <v>10</v>
      </c>
      <c r="JV29" s="216">
        <v>10</v>
      </c>
      <c r="JW29" s="218">
        <v>8</v>
      </c>
      <c r="JX29" s="218">
        <v>10</v>
      </c>
      <c r="JY29" s="218">
        <v>4</v>
      </c>
      <c r="JZ29" s="218">
        <v>4</v>
      </c>
      <c r="KA29" s="218">
        <v>4</v>
      </c>
      <c r="KB29" s="216">
        <v>6</v>
      </c>
      <c r="KC29" s="218">
        <v>6</v>
      </c>
      <c r="KD29" s="216">
        <v>8</v>
      </c>
      <c r="KE29" s="217">
        <v>5</v>
      </c>
      <c r="KF29" s="217">
        <v>4</v>
      </c>
      <c r="KG29" s="217">
        <v>3</v>
      </c>
      <c r="KH29" s="217">
        <v>2</v>
      </c>
      <c r="KI29" s="217">
        <v>4</v>
      </c>
      <c r="KJ29" s="217">
        <v>3</v>
      </c>
      <c r="KK29" s="217">
        <v>4</v>
      </c>
      <c r="KL29" s="217">
        <v>4</v>
      </c>
      <c r="KM29" s="217">
        <v>2</v>
      </c>
      <c r="KN29" s="218">
        <v>4</v>
      </c>
      <c r="KO29" s="218">
        <v>4</v>
      </c>
      <c r="KP29" s="216">
        <v>8</v>
      </c>
      <c r="KQ29" s="217">
        <v>10</v>
      </c>
      <c r="KR29" s="216">
        <v>9</v>
      </c>
      <c r="KS29" s="218">
        <v>8</v>
      </c>
      <c r="KT29" s="218">
        <v>10</v>
      </c>
      <c r="KU29" s="218">
        <v>4</v>
      </c>
      <c r="KV29" s="218">
        <v>4</v>
      </c>
      <c r="KW29" s="218">
        <v>4</v>
      </c>
      <c r="KX29" s="216">
        <v>6</v>
      </c>
      <c r="KY29" s="218">
        <v>6</v>
      </c>
      <c r="KZ29" s="216">
        <v>8</v>
      </c>
    </row>
    <row r="30" spans="2:312" s="23" customFormat="1">
      <c r="B30" s="345"/>
      <c r="C30" s="23" t="s">
        <v>90</v>
      </c>
      <c r="D30" s="23" t="s">
        <v>84</v>
      </c>
      <c r="E30" s="216">
        <v>10</v>
      </c>
      <c r="F30" s="216">
        <v>10</v>
      </c>
      <c r="G30" s="218">
        <v>5</v>
      </c>
      <c r="H30" s="218">
        <v>5</v>
      </c>
      <c r="I30" s="216">
        <v>10</v>
      </c>
      <c r="J30" s="216">
        <v>10</v>
      </c>
      <c r="K30" s="216">
        <v>10</v>
      </c>
      <c r="L30" s="216">
        <v>10</v>
      </c>
      <c r="M30" s="218">
        <v>10</v>
      </c>
      <c r="N30" s="218">
        <v>4</v>
      </c>
      <c r="O30" s="218">
        <v>4</v>
      </c>
      <c r="P30" s="216">
        <v>10</v>
      </c>
      <c r="Q30" s="216">
        <v>10</v>
      </c>
      <c r="R30" s="216">
        <v>10</v>
      </c>
      <c r="S30" s="216">
        <v>10</v>
      </c>
      <c r="T30" s="216">
        <v>10</v>
      </c>
      <c r="U30" s="218">
        <v>4</v>
      </c>
      <c r="V30" s="218">
        <v>10</v>
      </c>
      <c r="W30" s="218">
        <v>10</v>
      </c>
      <c r="Y30" s="216">
        <v>10</v>
      </c>
      <c r="Z30" s="216">
        <v>10</v>
      </c>
      <c r="AA30" s="216">
        <v>10</v>
      </c>
      <c r="AB30" s="216">
        <v>10</v>
      </c>
      <c r="AC30" s="218">
        <v>9</v>
      </c>
      <c r="AD30" s="218">
        <v>9</v>
      </c>
      <c r="AE30" s="216">
        <v>10</v>
      </c>
      <c r="AF30" s="216">
        <v>10</v>
      </c>
      <c r="AG30" s="216">
        <v>10</v>
      </c>
      <c r="AH30" s="216">
        <v>10</v>
      </c>
      <c r="AI30" s="218">
        <v>10</v>
      </c>
      <c r="AJ30" s="218">
        <v>8</v>
      </c>
      <c r="AK30" s="218">
        <v>8</v>
      </c>
      <c r="AL30" s="216">
        <v>10</v>
      </c>
      <c r="AM30" s="216">
        <v>10</v>
      </c>
      <c r="AN30" s="216">
        <v>10</v>
      </c>
      <c r="AO30" s="216">
        <v>10</v>
      </c>
      <c r="AP30" s="216">
        <v>10</v>
      </c>
      <c r="AQ30" s="218">
        <v>8</v>
      </c>
      <c r="AR30" s="218">
        <v>10</v>
      </c>
      <c r="AS30" s="218">
        <v>10</v>
      </c>
      <c r="AU30" s="216">
        <v>10</v>
      </c>
      <c r="AV30" s="216">
        <v>10</v>
      </c>
      <c r="AW30" s="216">
        <v>10</v>
      </c>
      <c r="AX30" s="216">
        <v>10</v>
      </c>
      <c r="BA30" s="216">
        <v>10</v>
      </c>
      <c r="BB30" s="216">
        <v>10</v>
      </c>
      <c r="BC30" s="216">
        <v>10</v>
      </c>
      <c r="BD30" s="216">
        <v>10</v>
      </c>
      <c r="BE30" s="218">
        <v>10</v>
      </c>
      <c r="BH30" s="216">
        <v>10</v>
      </c>
      <c r="BI30" s="216">
        <v>10</v>
      </c>
      <c r="BJ30" s="216">
        <v>10</v>
      </c>
      <c r="BK30" s="216">
        <v>10</v>
      </c>
      <c r="BL30" s="216">
        <v>10</v>
      </c>
      <c r="BQ30" s="216">
        <v>10</v>
      </c>
      <c r="BR30" s="216">
        <v>10</v>
      </c>
      <c r="BS30" s="216">
        <v>10</v>
      </c>
      <c r="BT30" s="216">
        <v>10</v>
      </c>
      <c r="BU30" s="216">
        <v>10</v>
      </c>
      <c r="BV30" s="216">
        <v>10</v>
      </c>
      <c r="BW30" s="216">
        <v>10</v>
      </c>
      <c r="BX30" s="216">
        <v>10</v>
      </c>
      <c r="BY30" s="216">
        <v>10</v>
      </c>
      <c r="BZ30" s="216">
        <v>10</v>
      </c>
      <c r="CA30" s="218">
        <v>10</v>
      </c>
      <c r="CB30" s="216">
        <v>10</v>
      </c>
      <c r="CC30" s="216">
        <v>10</v>
      </c>
      <c r="CD30" s="216">
        <v>10</v>
      </c>
      <c r="CE30" s="216">
        <v>10</v>
      </c>
      <c r="CF30" s="216">
        <v>10</v>
      </c>
      <c r="CG30" s="216">
        <v>10</v>
      </c>
      <c r="CH30" s="216">
        <v>10</v>
      </c>
      <c r="CI30" s="216">
        <v>10</v>
      </c>
      <c r="CJ30" s="216">
        <v>10</v>
      </c>
      <c r="CK30" s="216">
        <v>10</v>
      </c>
      <c r="CM30" s="216">
        <v>10</v>
      </c>
      <c r="CN30" s="216">
        <v>10</v>
      </c>
      <c r="CO30" s="216">
        <v>10</v>
      </c>
      <c r="CP30" s="216">
        <v>10</v>
      </c>
      <c r="CQ30" s="218">
        <v>3</v>
      </c>
      <c r="CR30" s="218">
        <v>3</v>
      </c>
      <c r="CS30" s="216">
        <v>10</v>
      </c>
      <c r="CT30" s="216">
        <v>10</v>
      </c>
      <c r="CU30" s="216">
        <v>10</v>
      </c>
      <c r="CV30" s="216">
        <v>10</v>
      </c>
      <c r="CW30" s="218">
        <v>10</v>
      </c>
      <c r="CX30" s="218">
        <v>2</v>
      </c>
      <c r="CY30" s="218">
        <v>2</v>
      </c>
      <c r="CZ30" s="216">
        <v>10</v>
      </c>
      <c r="DA30" s="216">
        <v>10</v>
      </c>
      <c r="DB30" s="216">
        <v>10</v>
      </c>
      <c r="DC30" s="216">
        <v>10</v>
      </c>
      <c r="DD30" s="216">
        <v>10</v>
      </c>
      <c r="DE30" s="218">
        <v>2</v>
      </c>
      <c r="DF30" s="218">
        <v>10</v>
      </c>
      <c r="DG30" s="218">
        <v>10</v>
      </c>
      <c r="DI30" s="216">
        <v>10</v>
      </c>
      <c r="DJ30" s="216">
        <v>10</v>
      </c>
      <c r="DK30" s="216">
        <v>10</v>
      </c>
      <c r="DL30" s="216">
        <v>10</v>
      </c>
      <c r="DM30" s="218">
        <v>6</v>
      </c>
      <c r="DN30" s="218">
        <v>6</v>
      </c>
      <c r="DO30" s="216">
        <v>10</v>
      </c>
      <c r="DP30" s="216">
        <v>10</v>
      </c>
      <c r="DQ30" s="216">
        <v>10</v>
      </c>
      <c r="DR30" s="216">
        <v>10</v>
      </c>
      <c r="DS30" s="218">
        <v>10</v>
      </c>
      <c r="DT30" s="218">
        <v>5</v>
      </c>
      <c r="DU30" s="218">
        <v>5</v>
      </c>
      <c r="DV30" s="216">
        <v>10</v>
      </c>
      <c r="DW30" s="216">
        <v>10</v>
      </c>
      <c r="DX30" s="216">
        <v>10</v>
      </c>
      <c r="DY30" s="216">
        <v>10</v>
      </c>
      <c r="DZ30" s="216">
        <v>10</v>
      </c>
      <c r="EA30" s="218">
        <v>5</v>
      </c>
      <c r="EB30" s="218">
        <v>10</v>
      </c>
      <c r="EC30" s="218">
        <v>10</v>
      </c>
      <c r="EE30" s="216">
        <v>10</v>
      </c>
      <c r="EF30" s="216">
        <v>10</v>
      </c>
      <c r="EG30" s="216">
        <v>10</v>
      </c>
      <c r="EH30" s="216">
        <v>10</v>
      </c>
      <c r="EI30" s="218">
        <v>6</v>
      </c>
      <c r="EJ30" s="218">
        <v>6</v>
      </c>
      <c r="EK30" s="216">
        <v>10</v>
      </c>
      <c r="EL30" s="216">
        <v>10</v>
      </c>
      <c r="EM30" s="216">
        <v>10</v>
      </c>
      <c r="EN30" s="216">
        <v>10</v>
      </c>
      <c r="EO30" s="218">
        <v>10</v>
      </c>
      <c r="EP30" s="218">
        <v>5</v>
      </c>
      <c r="EQ30" s="218">
        <v>5</v>
      </c>
      <c r="ER30" s="216">
        <v>10</v>
      </c>
      <c r="ES30" s="216">
        <v>10</v>
      </c>
      <c r="ET30" s="216">
        <v>10</v>
      </c>
      <c r="EU30" s="216">
        <v>10</v>
      </c>
      <c r="EV30" s="216">
        <v>10</v>
      </c>
      <c r="EW30" s="218">
        <v>5</v>
      </c>
      <c r="EX30" s="218">
        <v>10</v>
      </c>
      <c r="EY30" s="218">
        <v>10</v>
      </c>
      <c r="FA30" s="216">
        <v>10</v>
      </c>
      <c r="FB30" s="216">
        <v>10</v>
      </c>
      <c r="FC30" s="216">
        <v>10</v>
      </c>
      <c r="FD30" s="216">
        <v>10</v>
      </c>
      <c r="FE30" s="216">
        <v>10</v>
      </c>
      <c r="FF30" s="216">
        <v>10</v>
      </c>
      <c r="FG30" s="216">
        <v>10</v>
      </c>
      <c r="FH30" s="216">
        <v>10</v>
      </c>
      <c r="FI30" s="216">
        <v>10</v>
      </c>
      <c r="FJ30" s="216">
        <v>10</v>
      </c>
      <c r="FK30" s="218">
        <v>10</v>
      </c>
      <c r="FM30" s="216">
        <v>10</v>
      </c>
      <c r="FN30" s="216">
        <v>10</v>
      </c>
      <c r="FO30" s="216">
        <v>10</v>
      </c>
      <c r="FP30" s="216">
        <v>10</v>
      </c>
      <c r="FQ30" s="216">
        <v>10</v>
      </c>
      <c r="FR30" s="216">
        <v>10</v>
      </c>
      <c r="FS30" s="216">
        <v>10</v>
      </c>
      <c r="FT30" s="216">
        <v>10</v>
      </c>
      <c r="FU30" s="216">
        <v>10</v>
      </c>
      <c r="FW30" s="216">
        <v>10</v>
      </c>
      <c r="FX30" s="216">
        <v>10</v>
      </c>
      <c r="FY30" s="216">
        <v>10</v>
      </c>
      <c r="FZ30" s="216">
        <v>10</v>
      </c>
      <c r="GA30" s="218">
        <v>9</v>
      </c>
      <c r="GB30" s="218">
        <v>9</v>
      </c>
      <c r="GC30" s="216">
        <v>10</v>
      </c>
      <c r="GD30" s="216">
        <v>10</v>
      </c>
      <c r="GE30" s="216">
        <v>10</v>
      </c>
      <c r="GF30" s="216">
        <v>10</v>
      </c>
      <c r="GG30" s="218">
        <v>10</v>
      </c>
      <c r="GH30" s="218">
        <v>8</v>
      </c>
      <c r="GI30" s="218">
        <v>8</v>
      </c>
      <c r="GJ30" s="216">
        <v>10</v>
      </c>
      <c r="GK30" s="216">
        <v>10</v>
      </c>
      <c r="GL30" s="216">
        <v>10</v>
      </c>
      <c r="GM30" s="216">
        <v>10</v>
      </c>
      <c r="GN30" s="216">
        <v>10</v>
      </c>
      <c r="GO30" s="218">
        <v>8</v>
      </c>
      <c r="GP30" s="218">
        <v>10</v>
      </c>
      <c r="GQ30" s="218">
        <v>10</v>
      </c>
      <c r="GS30" s="216">
        <v>10</v>
      </c>
      <c r="GT30" s="216">
        <v>10</v>
      </c>
      <c r="GU30" s="216">
        <v>10</v>
      </c>
      <c r="GV30" s="216">
        <v>10</v>
      </c>
      <c r="GW30" s="218">
        <v>6</v>
      </c>
      <c r="GX30" s="218">
        <v>6</v>
      </c>
      <c r="GY30" s="216">
        <v>10</v>
      </c>
      <c r="GZ30" s="216">
        <v>10</v>
      </c>
      <c r="HA30" s="216">
        <v>10</v>
      </c>
      <c r="HB30" s="216">
        <v>10</v>
      </c>
      <c r="HC30" s="218">
        <v>10</v>
      </c>
      <c r="HD30" s="218">
        <v>5</v>
      </c>
      <c r="HE30" s="218">
        <v>5</v>
      </c>
      <c r="HF30" s="216">
        <v>10</v>
      </c>
      <c r="HG30" s="216">
        <v>10</v>
      </c>
      <c r="HH30" s="216">
        <v>10</v>
      </c>
      <c r="HI30" s="216">
        <v>10</v>
      </c>
      <c r="HJ30" s="216">
        <v>10</v>
      </c>
      <c r="HK30" s="218">
        <v>5</v>
      </c>
      <c r="HL30" s="218">
        <v>10</v>
      </c>
      <c r="HM30" s="218">
        <v>10</v>
      </c>
      <c r="HO30" s="216">
        <v>10</v>
      </c>
      <c r="HP30" s="216">
        <v>10</v>
      </c>
      <c r="HQ30" s="216">
        <v>10</v>
      </c>
      <c r="HR30" s="216">
        <v>10</v>
      </c>
      <c r="HS30" s="216">
        <v>10</v>
      </c>
      <c r="HT30" s="216">
        <v>10</v>
      </c>
      <c r="HU30" s="216">
        <v>10</v>
      </c>
      <c r="HV30" s="216">
        <v>10</v>
      </c>
      <c r="HW30" s="216">
        <v>10</v>
      </c>
      <c r="HX30" s="216">
        <v>10</v>
      </c>
      <c r="HY30" s="218">
        <v>10</v>
      </c>
      <c r="HZ30" s="216">
        <v>10</v>
      </c>
      <c r="IA30" s="216">
        <v>10</v>
      </c>
      <c r="IB30" s="216">
        <v>10</v>
      </c>
      <c r="IC30" s="216">
        <v>10</v>
      </c>
      <c r="ID30" s="216">
        <v>10</v>
      </c>
      <c r="IE30" s="216">
        <v>10</v>
      </c>
      <c r="IF30" s="216">
        <v>10</v>
      </c>
      <c r="IG30" s="216">
        <v>10</v>
      </c>
      <c r="IH30" s="216">
        <v>10</v>
      </c>
      <c r="II30" s="216">
        <v>10</v>
      </c>
      <c r="IK30" s="216">
        <v>10</v>
      </c>
      <c r="IL30" s="216">
        <v>10</v>
      </c>
      <c r="IM30" s="216">
        <v>10</v>
      </c>
      <c r="IN30" s="216">
        <v>10</v>
      </c>
      <c r="IO30" s="218">
        <v>9</v>
      </c>
      <c r="IP30" s="218">
        <v>9</v>
      </c>
      <c r="IQ30" s="216">
        <v>10</v>
      </c>
      <c r="IR30" s="216">
        <v>10</v>
      </c>
      <c r="IS30" s="216">
        <v>10</v>
      </c>
      <c r="IT30" s="216">
        <v>10</v>
      </c>
      <c r="IU30" s="218">
        <v>10</v>
      </c>
      <c r="IV30" s="218">
        <v>8</v>
      </c>
      <c r="IW30" s="218">
        <v>8</v>
      </c>
      <c r="IX30" s="216">
        <v>10</v>
      </c>
      <c r="IY30" s="216">
        <v>10</v>
      </c>
      <c r="IZ30" s="216">
        <v>10</v>
      </c>
      <c r="JA30" s="216">
        <v>10</v>
      </c>
      <c r="JB30" s="216">
        <v>10</v>
      </c>
      <c r="JC30" s="218">
        <v>8</v>
      </c>
      <c r="JD30" s="218">
        <v>10</v>
      </c>
      <c r="JE30" s="218">
        <v>10</v>
      </c>
      <c r="JG30" s="216">
        <v>10</v>
      </c>
      <c r="JH30" s="216">
        <v>10</v>
      </c>
      <c r="JI30" s="216">
        <v>10</v>
      </c>
      <c r="JJ30" s="216">
        <v>10</v>
      </c>
      <c r="JK30" s="218">
        <v>9</v>
      </c>
      <c r="JL30" s="218">
        <v>9</v>
      </c>
      <c r="JM30" s="216">
        <v>10</v>
      </c>
      <c r="JN30" s="216">
        <v>10</v>
      </c>
      <c r="JO30" s="216">
        <v>10</v>
      </c>
      <c r="JP30" s="216">
        <v>10</v>
      </c>
      <c r="JQ30" s="218">
        <v>10</v>
      </c>
      <c r="JR30" s="218">
        <v>8</v>
      </c>
      <c r="JS30" s="218">
        <v>8</v>
      </c>
      <c r="JT30" s="216">
        <v>10</v>
      </c>
      <c r="JU30" s="216">
        <v>10</v>
      </c>
      <c r="JV30" s="216">
        <v>10</v>
      </c>
      <c r="JW30" s="216">
        <v>10</v>
      </c>
      <c r="JX30" s="216">
        <v>10</v>
      </c>
      <c r="JY30" s="218">
        <v>8</v>
      </c>
      <c r="JZ30" s="218">
        <v>10</v>
      </c>
      <c r="KA30" s="218">
        <v>10</v>
      </c>
      <c r="KC30" s="216">
        <v>10</v>
      </c>
      <c r="KD30" s="216">
        <v>10</v>
      </c>
      <c r="KE30" s="216"/>
      <c r="KF30" s="216"/>
      <c r="KG30" s="218"/>
      <c r="KH30" s="218"/>
      <c r="KI30" s="216"/>
      <c r="KJ30" s="216"/>
      <c r="KK30" s="216"/>
      <c r="KL30" s="216"/>
      <c r="KM30" s="218"/>
      <c r="KN30" s="218"/>
      <c r="KO30" s="218"/>
      <c r="KP30" s="216"/>
      <c r="KQ30" s="216"/>
      <c r="KR30" s="216"/>
      <c r="KS30" s="216"/>
      <c r="KT30" s="216"/>
      <c r="KU30" s="218"/>
      <c r="KV30" s="218"/>
      <c r="KW30" s="218"/>
      <c r="KY30" s="216"/>
      <c r="KZ30" s="216"/>
    </row>
    <row r="31" spans="2:312" s="23" customFormat="1">
      <c r="B31" s="345"/>
      <c r="C31" s="23" t="s">
        <v>91</v>
      </c>
      <c r="D31" s="23" t="s">
        <v>84</v>
      </c>
      <c r="E31" s="217">
        <v>8</v>
      </c>
      <c r="F31" s="217">
        <v>8</v>
      </c>
      <c r="G31" s="217">
        <v>7</v>
      </c>
      <c r="H31" s="217">
        <v>7</v>
      </c>
      <c r="I31" s="217">
        <v>7</v>
      </c>
      <c r="J31" s="217">
        <v>7</v>
      </c>
      <c r="K31" s="217">
        <v>8</v>
      </c>
      <c r="L31" s="217">
        <v>8</v>
      </c>
      <c r="M31" s="217">
        <v>3</v>
      </c>
      <c r="N31" s="217">
        <v>6</v>
      </c>
      <c r="O31" s="217">
        <v>6</v>
      </c>
      <c r="P31" s="217">
        <v>9</v>
      </c>
      <c r="Q31" s="217">
        <v>10</v>
      </c>
      <c r="R31" s="217">
        <v>10</v>
      </c>
      <c r="S31" s="217">
        <v>3</v>
      </c>
      <c r="T31" s="217">
        <v>10</v>
      </c>
      <c r="U31" s="217">
        <v>1</v>
      </c>
      <c r="V31" s="216">
        <v>5</v>
      </c>
      <c r="W31" s="216">
        <v>5</v>
      </c>
      <c r="X31" s="23" t="s">
        <v>160</v>
      </c>
      <c r="Y31" s="23" t="s">
        <v>160</v>
      </c>
      <c r="Z31" s="217">
        <v>9</v>
      </c>
      <c r="AA31" s="217">
        <v>8</v>
      </c>
      <c r="AB31" s="217">
        <v>8</v>
      </c>
      <c r="AC31" s="217">
        <v>7</v>
      </c>
      <c r="AD31" s="217">
        <v>7</v>
      </c>
      <c r="AE31" s="217">
        <v>7</v>
      </c>
      <c r="AF31" s="217">
        <v>7</v>
      </c>
      <c r="AG31" s="217">
        <v>8</v>
      </c>
      <c r="AH31" s="217">
        <v>8</v>
      </c>
      <c r="AI31" s="217">
        <v>3</v>
      </c>
      <c r="AJ31" s="217">
        <v>6</v>
      </c>
      <c r="AK31" s="217">
        <v>6</v>
      </c>
      <c r="AL31" s="217">
        <v>9</v>
      </c>
      <c r="AM31" s="217">
        <v>10</v>
      </c>
      <c r="AN31" s="217">
        <v>10</v>
      </c>
      <c r="AO31" s="217">
        <v>3</v>
      </c>
      <c r="AP31" s="217">
        <v>10</v>
      </c>
      <c r="AQ31" s="217">
        <v>1</v>
      </c>
      <c r="AR31" s="216">
        <v>5</v>
      </c>
      <c r="AS31" s="216">
        <v>5</v>
      </c>
      <c r="AT31" s="23" t="s">
        <v>160</v>
      </c>
      <c r="AU31" s="23" t="s">
        <v>160</v>
      </c>
      <c r="AV31" s="217">
        <v>9</v>
      </c>
      <c r="AW31" s="217">
        <v>8</v>
      </c>
      <c r="AX31" s="217">
        <v>8</v>
      </c>
      <c r="AY31" s="217">
        <v>7</v>
      </c>
      <c r="AZ31" s="217">
        <v>7</v>
      </c>
      <c r="BA31" s="217">
        <v>7</v>
      </c>
      <c r="BB31" s="217">
        <v>7</v>
      </c>
      <c r="BC31" s="217">
        <v>8</v>
      </c>
      <c r="BD31" s="217">
        <v>8</v>
      </c>
      <c r="BE31" s="217">
        <v>3</v>
      </c>
      <c r="BF31" s="217">
        <v>6</v>
      </c>
      <c r="BG31" s="217">
        <v>6</v>
      </c>
      <c r="BH31" s="217">
        <v>9</v>
      </c>
      <c r="BI31" s="217">
        <v>10</v>
      </c>
      <c r="BJ31" s="217">
        <v>10</v>
      </c>
      <c r="BK31" s="217">
        <v>3</v>
      </c>
      <c r="BL31" s="217">
        <v>10</v>
      </c>
      <c r="BM31" s="217">
        <v>1</v>
      </c>
      <c r="BN31" s="216">
        <v>5</v>
      </c>
      <c r="BO31" s="216">
        <v>5</v>
      </c>
      <c r="BP31" s="23" t="s">
        <v>160</v>
      </c>
      <c r="BQ31" s="23" t="s">
        <v>160</v>
      </c>
      <c r="BR31" s="217">
        <v>9</v>
      </c>
      <c r="BS31" s="217">
        <v>8</v>
      </c>
      <c r="BT31" s="217">
        <v>8</v>
      </c>
      <c r="BU31" s="217">
        <v>7</v>
      </c>
      <c r="BV31" s="217">
        <v>7</v>
      </c>
      <c r="BW31" s="217">
        <v>7</v>
      </c>
      <c r="BX31" s="217">
        <v>7</v>
      </c>
      <c r="BY31" s="217">
        <v>8</v>
      </c>
      <c r="BZ31" s="217">
        <v>8</v>
      </c>
      <c r="CA31" s="217">
        <v>3</v>
      </c>
      <c r="CB31" s="217">
        <v>6</v>
      </c>
      <c r="CC31" s="217">
        <v>6</v>
      </c>
      <c r="CD31" s="217">
        <v>9</v>
      </c>
      <c r="CE31" s="217">
        <v>10</v>
      </c>
      <c r="CF31" s="217">
        <v>10</v>
      </c>
      <c r="CG31" s="217">
        <v>3</v>
      </c>
      <c r="CH31" s="217">
        <v>10</v>
      </c>
      <c r="CI31" s="217">
        <v>1</v>
      </c>
      <c r="CJ31" s="216">
        <v>5</v>
      </c>
      <c r="CK31" s="216">
        <v>5</v>
      </c>
      <c r="CL31" s="23" t="s">
        <v>160</v>
      </c>
      <c r="CM31" s="23" t="s">
        <v>160</v>
      </c>
      <c r="CN31" s="217">
        <v>9</v>
      </c>
      <c r="CO31" s="217">
        <v>8</v>
      </c>
      <c r="CP31" s="217">
        <v>8</v>
      </c>
      <c r="CQ31" s="217">
        <v>7</v>
      </c>
      <c r="CR31" s="217">
        <v>7</v>
      </c>
      <c r="CS31" s="217">
        <v>7</v>
      </c>
      <c r="CT31" s="217">
        <v>7</v>
      </c>
      <c r="CU31" s="217">
        <v>8</v>
      </c>
      <c r="CV31" s="217">
        <v>8</v>
      </c>
      <c r="CW31" s="217">
        <v>3</v>
      </c>
      <c r="CX31" s="217">
        <v>6</v>
      </c>
      <c r="CY31" s="217">
        <v>6</v>
      </c>
      <c r="CZ31" s="217">
        <v>9</v>
      </c>
      <c r="DA31" s="217">
        <v>10</v>
      </c>
      <c r="DB31" s="217">
        <v>10</v>
      </c>
      <c r="DC31" s="217">
        <v>3</v>
      </c>
      <c r="DD31" s="217">
        <v>10</v>
      </c>
      <c r="DE31" s="217">
        <v>1</v>
      </c>
      <c r="DF31" s="216">
        <v>5</v>
      </c>
      <c r="DG31" s="216">
        <v>5</v>
      </c>
      <c r="DH31" s="23" t="s">
        <v>160</v>
      </c>
      <c r="DI31" s="23" t="s">
        <v>160</v>
      </c>
      <c r="DJ31" s="217">
        <v>9</v>
      </c>
      <c r="DK31" s="217">
        <v>8</v>
      </c>
      <c r="DL31" s="217">
        <v>8</v>
      </c>
      <c r="DM31" s="217">
        <v>7</v>
      </c>
      <c r="DN31" s="217">
        <v>7</v>
      </c>
      <c r="DO31" s="217">
        <v>7</v>
      </c>
      <c r="DP31" s="217">
        <v>7</v>
      </c>
      <c r="DQ31" s="217">
        <v>8</v>
      </c>
      <c r="DR31" s="217">
        <v>8</v>
      </c>
      <c r="DS31" s="217">
        <v>3</v>
      </c>
      <c r="DT31" s="217">
        <v>6</v>
      </c>
      <c r="DU31" s="217">
        <v>6</v>
      </c>
      <c r="DV31" s="217">
        <v>9</v>
      </c>
      <c r="DW31" s="217">
        <v>10</v>
      </c>
      <c r="DX31" s="217">
        <v>10</v>
      </c>
      <c r="DY31" s="217">
        <v>3</v>
      </c>
      <c r="DZ31" s="217">
        <v>10</v>
      </c>
      <c r="EA31" s="217">
        <v>1</v>
      </c>
      <c r="EB31" s="216">
        <v>5</v>
      </c>
      <c r="EC31" s="216">
        <v>5</v>
      </c>
      <c r="ED31" s="23" t="s">
        <v>160</v>
      </c>
      <c r="EE31" s="23" t="s">
        <v>160</v>
      </c>
      <c r="EF31" s="217">
        <v>9</v>
      </c>
      <c r="EG31" s="217">
        <v>8</v>
      </c>
      <c r="EH31" s="217">
        <v>8</v>
      </c>
      <c r="EI31" s="217">
        <v>7</v>
      </c>
      <c r="EJ31" s="217">
        <v>7</v>
      </c>
      <c r="EK31" s="217">
        <v>7</v>
      </c>
      <c r="EL31" s="217">
        <v>7</v>
      </c>
      <c r="EM31" s="217">
        <v>8</v>
      </c>
      <c r="EN31" s="217">
        <v>8</v>
      </c>
      <c r="EO31" s="217">
        <v>3</v>
      </c>
      <c r="EP31" s="217">
        <v>6</v>
      </c>
      <c r="EQ31" s="217">
        <v>6</v>
      </c>
      <c r="ER31" s="217">
        <v>9</v>
      </c>
      <c r="ES31" s="217">
        <v>10</v>
      </c>
      <c r="ET31" s="217">
        <v>10</v>
      </c>
      <c r="EU31" s="217">
        <v>3</v>
      </c>
      <c r="EV31" s="217">
        <v>10</v>
      </c>
      <c r="EW31" s="217">
        <v>1</v>
      </c>
      <c r="EX31" s="216">
        <v>5</v>
      </c>
      <c r="EY31" s="216">
        <v>5</v>
      </c>
      <c r="EZ31" s="23" t="s">
        <v>160</v>
      </c>
      <c r="FA31" s="23" t="s">
        <v>160</v>
      </c>
      <c r="FB31" s="217">
        <v>9</v>
      </c>
      <c r="FC31" s="217">
        <v>8</v>
      </c>
      <c r="FD31" s="217">
        <v>8</v>
      </c>
      <c r="FE31" s="217">
        <v>7</v>
      </c>
      <c r="FF31" s="217">
        <v>7</v>
      </c>
      <c r="FG31" s="217">
        <v>7</v>
      </c>
      <c r="FH31" s="217">
        <v>7</v>
      </c>
      <c r="FI31" s="217">
        <v>8</v>
      </c>
      <c r="FJ31" s="217">
        <v>8</v>
      </c>
      <c r="FK31" s="217">
        <v>3</v>
      </c>
      <c r="FL31" s="217">
        <v>6</v>
      </c>
      <c r="FM31" s="217">
        <v>6</v>
      </c>
      <c r="FN31" s="217">
        <v>9</v>
      </c>
      <c r="FO31" s="217">
        <v>10</v>
      </c>
      <c r="FP31" s="217">
        <v>10</v>
      </c>
      <c r="FQ31" s="217">
        <v>3</v>
      </c>
      <c r="FR31" s="217">
        <v>10</v>
      </c>
      <c r="FS31" s="217">
        <v>1</v>
      </c>
      <c r="FT31" s="216">
        <v>5</v>
      </c>
      <c r="FU31" s="216">
        <v>5</v>
      </c>
      <c r="FV31" s="23" t="s">
        <v>160</v>
      </c>
      <c r="FW31" s="23" t="s">
        <v>160</v>
      </c>
      <c r="FX31" s="217">
        <v>9</v>
      </c>
      <c r="FY31" s="217">
        <v>8</v>
      </c>
      <c r="FZ31" s="217">
        <v>8</v>
      </c>
      <c r="GA31" s="217">
        <v>7</v>
      </c>
      <c r="GB31" s="217">
        <v>7</v>
      </c>
      <c r="GC31" s="217">
        <v>7</v>
      </c>
      <c r="GD31" s="217">
        <v>7</v>
      </c>
      <c r="GE31" s="217">
        <v>8</v>
      </c>
      <c r="GF31" s="217">
        <v>8</v>
      </c>
      <c r="GG31" s="217">
        <v>3</v>
      </c>
      <c r="GH31" s="217">
        <v>6</v>
      </c>
      <c r="GI31" s="217">
        <v>6</v>
      </c>
      <c r="GJ31" s="217">
        <v>9</v>
      </c>
      <c r="GK31" s="217">
        <v>10</v>
      </c>
      <c r="GL31" s="217">
        <v>10</v>
      </c>
      <c r="GM31" s="217">
        <v>3</v>
      </c>
      <c r="GN31" s="217">
        <v>10</v>
      </c>
      <c r="GO31" s="217">
        <v>1</v>
      </c>
      <c r="GP31" s="216">
        <v>5</v>
      </c>
      <c r="GQ31" s="216">
        <v>5</v>
      </c>
      <c r="GR31" s="23" t="s">
        <v>160</v>
      </c>
      <c r="GS31" s="23" t="s">
        <v>160</v>
      </c>
      <c r="GT31" s="217">
        <v>9</v>
      </c>
      <c r="GU31" s="217">
        <v>8</v>
      </c>
      <c r="GV31" s="217">
        <v>8</v>
      </c>
      <c r="GW31" s="217">
        <v>7</v>
      </c>
      <c r="GX31" s="217">
        <v>7</v>
      </c>
      <c r="GY31" s="217">
        <v>7</v>
      </c>
      <c r="GZ31" s="217">
        <v>7</v>
      </c>
      <c r="HA31" s="217">
        <v>8</v>
      </c>
      <c r="HB31" s="217">
        <v>8</v>
      </c>
      <c r="HC31" s="217">
        <v>3</v>
      </c>
      <c r="HD31" s="217">
        <v>6</v>
      </c>
      <c r="HE31" s="217">
        <v>6</v>
      </c>
      <c r="HF31" s="217">
        <v>9</v>
      </c>
      <c r="HG31" s="217">
        <v>10</v>
      </c>
      <c r="HH31" s="217">
        <v>10</v>
      </c>
      <c r="HI31" s="217">
        <v>3</v>
      </c>
      <c r="HJ31" s="217">
        <v>10</v>
      </c>
      <c r="HK31" s="217">
        <v>1</v>
      </c>
      <c r="HL31" s="216">
        <v>5</v>
      </c>
      <c r="HM31" s="216">
        <v>5</v>
      </c>
      <c r="HN31" s="23" t="s">
        <v>160</v>
      </c>
      <c r="HO31" s="23" t="s">
        <v>160</v>
      </c>
      <c r="HP31" s="217">
        <v>9</v>
      </c>
      <c r="HQ31" s="217">
        <v>8</v>
      </c>
      <c r="HR31" s="217">
        <v>8</v>
      </c>
      <c r="HS31" s="217">
        <v>7</v>
      </c>
      <c r="HT31" s="217">
        <v>7</v>
      </c>
      <c r="HU31" s="217">
        <v>7</v>
      </c>
      <c r="HV31" s="217">
        <v>7</v>
      </c>
      <c r="HW31" s="217">
        <v>8</v>
      </c>
      <c r="HX31" s="217">
        <v>8</v>
      </c>
      <c r="HY31" s="217">
        <v>3</v>
      </c>
      <c r="HZ31" s="217">
        <v>6</v>
      </c>
      <c r="IA31" s="217">
        <v>6</v>
      </c>
      <c r="IB31" s="217">
        <v>9</v>
      </c>
      <c r="IC31" s="217">
        <v>10</v>
      </c>
      <c r="ID31" s="217">
        <v>10</v>
      </c>
      <c r="IE31" s="217">
        <v>3</v>
      </c>
      <c r="IF31" s="217">
        <v>10</v>
      </c>
      <c r="IG31" s="217">
        <v>1</v>
      </c>
      <c r="IH31" s="216">
        <v>5</v>
      </c>
      <c r="II31" s="216">
        <v>5</v>
      </c>
      <c r="IJ31" s="23" t="s">
        <v>160</v>
      </c>
      <c r="IK31" s="23" t="s">
        <v>160</v>
      </c>
      <c r="IL31" s="217">
        <v>9</v>
      </c>
      <c r="IM31" s="217">
        <v>8</v>
      </c>
      <c r="IN31" s="217">
        <v>8</v>
      </c>
      <c r="IO31" s="217">
        <v>7</v>
      </c>
      <c r="IP31" s="217">
        <v>7</v>
      </c>
      <c r="IQ31" s="217">
        <v>7</v>
      </c>
      <c r="IR31" s="217">
        <v>7</v>
      </c>
      <c r="IS31" s="217">
        <v>8</v>
      </c>
      <c r="IT31" s="217">
        <v>8</v>
      </c>
      <c r="IU31" s="217">
        <v>3</v>
      </c>
      <c r="IV31" s="217">
        <v>6</v>
      </c>
      <c r="IW31" s="217">
        <v>6</v>
      </c>
      <c r="IX31" s="217">
        <v>9</v>
      </c>
      <c r="IY31" s="217">
        <v>10</v>
      </c>
      <c r="IZ31" s="217">
        <v>10</v>
      </c>
      <c r="JA31" s="217">
        <v>3</v>
      </c>
      <c r="JB31" s="217">
        <v>10</v>
      </c>
      <c r="JC31" s="217">
        <v>1</v>
      </c>
      <c r="JD31" s="216">
        <v>5</v>
      </c>
      <c r="JE31" s="216">
        <v>5</v>
      </c>
      <c r="JF31" s="23" t="s">
        <v>160</v>
      </c>
      <c r="JG31" s="23" t="s">
        <v>160</v>
      </c>
      <c r="JH31" s="217">
        <v>9</v>
      </c>
      <c r="JI31" s="217">
        <v>8</v>
      </c>
      <c r="JJ31" s="217">
        <v>8</v>
      </c>
      <c r="JK31" s="217">
        <v>7</v>
      </c>
      <c r="JL31" s="217">
        <v>7</v>
      </c>
      <c r="JM31" s="217">
        <v>7</v>
      </c>
      <c r="JN31" s="217">
        <v>7</v>
      </c>
      <c r="JO31" s="217">
        <v>8</v>
      </c>
      <c r="JP31" s="217">
        <v>8</v>
      </c>
      <c r="JQ31" s="217">
        <v>3</v>
      </c>
      <c r="JR31" s="217">
        <v>6</v>
      </c>
      <c r="JS31" s="217">
        <v>6</v>
      </c>
      <c r="JT31" s="217">
        <v>9</v>
      </c>
      <c r="JU31" s="217">
        <v>10</v>
      </c>
      <c r="JV31" s="217">
        <v>10</v>
      </c>
      <c r="JW31" s="217">
        <v>3</v>
      </c>
      <c r="JX31" s="217">
        <v>10</v>
      </c>
      <c r="JY31" s="217">
        <v>1</v>
      </c>
      <c r="JZ31" s="216">
        <v>5</v>
      </c>
      <c r="KA31" s="216">
        <v>5</v>
      </c>
      <c r="KB31" s="23" t="s">
        <v>160</v>
      </c>
      <c r="KC31" s="23" t="s">
        <v>160</v>
      </c>
      <c r="KD31" s="217">
        <v>9</v>
      </c>
      <c r="KE31" s="217">
        <v>8</v>
      </c>
      <c r="KF31" s="217">
        <v>8</v>
      </c>
      <c r="KG31" s="217">
        <v>7</v>
      </c>
      <c r="KH31" s="217">
        <v>7</v>
      </c>
      <c r="KI31" s="217">
        <v>7</v>
      </c>
      <c r="KJ31" s="217">
        <v>7</v>
      </c>
      <c r="KK31" s="217">
        <v>8</v>
      </c>
      <c r="KL31" s="217">
        <v>8</v>
      </c>
      <c r="KM31" s="217">
        <v>3</v>
      </c>
      <c r="KN31" s="217">
        <v>6</v>
      </c>
      <c r="KO31" s="217">
        <v>6</v>
      </c>
      <c r="KP31" s="217">
        <v>9</v>
      </c>
      <c r="KQ31" s="217">
        <v>10</v>
      </c>
      <c r="KR31" s="217">
        <v>10</v>
      </c>
      <c r="KS31" s="217">
        <v>3</v>
      </c>
      <c r="KT31" s="217">
        <v>10</v>
      </c>
      <c r="KU31" s="217">
        <v>1</v>
      </c>
      <c r="KV31" s="216">
        <v>5</v>
      </c>
      <c r="KW31" s="216">
        <v>5</v>
      </c>
      <c r="KX31" s="23" t="s">
        <v>160</v>
      </c>
      <c r="KY31" s="23" t="s">
        <v>160</v>
      </c>
      <c r="KZ31" s="217">
        <v>9</v>
      </c>
    </row>
    <row r="32" spans="2:312" s="23" customFormat="1">
      <c r="B32" s="345"/>
      <c r="C32" s="23" t="s">
        <v>92</v>
      </c>
      <c r="D32" s="23" t="s">
        <v>84</v>
      </c>
      <c r="E32" s="216">
        <v>4</v>
      </c>
      <c r="F32" s="216">
        <v>4</v>
      </c>
      <c r="G32" s="216">
        <v>3</v>
      </c>
      <c r="H32" s="216">
        <v>3</v>
      </c>
      <c r="I32" s="216">
        <v>4</v>
      </c>
      <c r="J32" s="216">
        <v>4</v>
      </c>
      <c r="K32" s="216">
        <v>4</v>
      </c>
      <c r="L32" s="216">
        <v>4</v>
      </c>
      <c r="M32" s="216">
        <v>2</v>
      </c>
      <c r="N32" s="216">
        <v>3</v>
      </c>
      <c r="O32" s="216">
        <v>3</v>
      </c>
      <c r="P32" s="216">
        <v>7</v>
      </c>
      <c r="Q32" s="217">
        <v>10</v>
      </c>
      <c r="R32" s="217">
        <v>10</v>
      </c>
      <c r="S32" s="216">
        <v>2</v>
      </c>
      <c r="T32" s="217">
        <v>10</v>
      </c>
      <c r="U32" s="216">
        <v>1</v>
      </c>
      <c r="V32" s="216">
        <v>5</v>
      </c>
      <c r="W32" s="216">
        <v>5</v>
      </c>
      <c r="X32" s="217">
        <v>10</v>
      </c>
      <c r="Y32" s="23" t="s">
        <v>160</v>
      </c>
      <c r="Z32" s="216">
        <v>8</v>
      </c>
      <c r="AA32" s="216">
        <v>4</v>
      </c>
      <c r="AB32" s="216">
        <v>4</v>
      </c>
      <c r="AC32" s="216">
        <v>3</v>
      </c>
      <c r="AD32" s="216">
        <v>3</v>
      </c>
      <c r="AE32" s="216">
        <v>4</v>
      </c>
      <c r="AF32" s="216">
        <v>4</v>
      </c>
      <c r="AG32" s="216">
        <v>4</v>
      </c>
      <c r="AH32" s="216">
        <v>4</v>
      </c>
      <c r="AI32" s="216">
        <v>2</v>
      </c>
      <c r="AJ32" s="216">
        <v>3</v>
      </c>
      <c r="AK32" s="216">
        <v>3</v>
      </c>
      <c r="AL32" s="216">
        <v>7</v>
      </c>
      <c r="AM32" s="217">
        <v>10</v>
      </c>
      <c r="AN32" s="217">
        <v>10</v>
      </c>
      <c r="AO32" s="216">
        <v>2</v>
      </c>
      <c r="AP32" s="217">
        <v>10</v>
      </c>
      <c r="AQ32" s="216">
        <v>1</v>
      </c>
      <c r="AR32" s="216">
        <v>5</v>
      </c>
      <c r="AS32" s="216">
        <v>5</v>
      </c>
      <c r="AT32" s="217">
        <v>10</v>
      </c>
      <c r="AU32" s="23" t="s">
        <v>160</v>
      </c>
      <c r="AV32" s="216">
        <v>8</v>
      </c>
      <c r="AW32" s="216">
        <v>4</v>
      </c>
      <c r="AX32" s="216">
        <v>4</v>
      </c>
      <c r="AY32" s="216">
        <v>3</v>
      </c>
      <c r="AZ32" s="216">
        <v>3</v>
      </c>
      <c r="BA32" s="216">
        <v>4</v>
      </c>
      <c r="BB32" s="216">
        <v>4</v>
      </c>
      <c r="BC32" s="216">
        <v>4</v>
      </c>
      <c r="BD32" s="216">
        <v>4</v>
      </c>
      <c r="BE32" s="216">
        <v>2</v>
      </c>
      <c r="BF32" s="216">
        <v>3</v>
      </c>
      <c r="BG32" s="216">
        <v>3</v>
      </c>
      <c r="BH32" s="216">
        <v>7</v>
      </c>
      <c r="BI32" s="217">
        <v>10</v>
      </c>
      <c r="BJ32" s="217">
        <v>10</v>
      </c>
      <c r="BK32" s="216">
        <v>2</v>
      </c>
      <c r="BL32" s="217">
        <v>10</v>
      </c>
      <c r="BM32" s="216">
        <v>1</v>
      </c>
      <c r="BN32" s="216">
        <v>5</v>
      </c>
      <c r="BO32" s="216">
        <v>5</v>
      </c>
      <c r="BP32" s="217">
        <v>10</v>
      </c>
      <c r="BQ32" s="23" t="s">
        <v>160</v>
      </c>
      <c r="BR32" s="216">
        <v>8</v>
      </c>
      <c r="BS32" s="216">
        <v>4</v>
      </c>
      <c r="BT32" s="216">
        <v>4</v>
      </c>
      <c r="BU32" s="216">
        <v>3</v>
      </c>
      <c r="BV32" s="216">
        <v>3</v>
      </c>
      <c r="BW32" s="216">
        <v>4</v>
      </c>
      <c r="BX32" s="216">
        <v>4</v>
      </c>
      <c r="BY32" s="216">
        <v>4</v>
      </c>
      <c r="BZ32" s="216">
        <v>4</v>
      </c>
      <c r="CA32" s="216">
        <v>2</v>
      </c>
      <c r="CB32" s="216">
        <v>3</v>
      </c>
      <c r="CC32" s="216">
        <v>3</v>
      </c>
      <c r="CD32" s="216">
        <v>7</v>
      </c>
      <c r="CE32" s="217">
        <v>10</v>
      </c>
      <c r="CF32" s="217">
        <v>10</v>
      </c>
      <c r="CG32" s="216">
        <v>2</v>
      </c>
      <c r="CH32" s="217">
        <v>10</v>
      </c>
      <c r="CI32" s="216">
        <v>1</v>
      </c>
      <c r="CJ32" s="216">
        <v>5</v>
      </c>
      <c r="CK32" s="216">
        <v>5</v>
      </c>
      <c r="CL32" s="217">
        <v>10</v>
      </c>
      <c r="CM32" s="23" t="s">
        <v>160</v>
      </c>
      <c r="CN32" s="216">
        <v>8</v>
      </c>
      <c r="CO32" s="216">
        <v>4</v>
      </c>
      <c r="CP32" s="216">
        <v>4</v>
      </c>
      <c r="CQ32" s="216">
        <v>3</v>
      </c>
      <c r="CR32" s="216">
        <v>3</v>
      </c>
      <c r="CS32" s="216">
        <v>4</v>
      </c>
      <c r="CT32" s="216">
        <v>4</v>
      </c>
      <c r="CU32" s="216">
        <v>4</v>
      </c>
      <c r="CV32" s="216">
        <v>4</v>
      </c>
      <c r="CW32" s="216">
        <v>2</v>
      </c>
      <c r="CX32" s="216">
        <v>3</v>
      </c>
      <c r="CY32" s="216">
        <v>3</v>
      </c>
      <c r="CZ32" s="216">
        <v>7</v>
      </c>
      <c r="DA32" s="217">
        <v>10</v>
      </c>
      <c r="DB32" s="217">
        <v>10</v>
      </c>
      <c r="DC32" s="216">
        <v>2</v>
      </c>
      <c r="DD32" s="217">
        <v>10</v>
      </c>
      <c r="DE32" s="216">
        <v>1</v>
      </c>
      <c r="DF32" s="216">
        <v>5</v>
      </c>
      <c r="DG32" s="216">
        <v>5</v>
      </c>
      <c r="DH32" s="217">
        <v>10</v>
      </c>
      <c r="DI32" s="23" t="s">
        <v>160</v>
      </c>
      <c r="DJ32" s="216">
        <v>8</v>
      </c>
      <c r="DK32" s="216">
        <v>4</v>
      </c>
      <c r="DL32" s="216">
        <v>4</v>
      </c>
      <c r="DM32" s="216">
        <v>3</v>
      </c>
      <c r="DN32" s="216">
        <v>3</v>
      </c>
      <c r="DO32" s="216">
        <v>4</v>
      </c>
      <c r="DP32" s="216">
        <v>4</v>
      </c>
      <c r="DQ32" s="216">
        <v>4</v>
      </c>
      <c r="DR32" s="216">
        <v>4</v>
      </c>
      <c r="DS32" s="216">
        <v>2</v>
      </c>
      <c r="DT32" s="216">
        <v>3</v>
      </c>
      <c r="DU32" s="216">
        <v>3</v>
      </c>
      <c r="DV32" s="216">
        <v>7</v>
      </c>
      <c r="DW32" s="217">
        <v>10</v>
      </c>
      <c r="DX32" s="217">
        <v>10</v>
      </c>
      <c r="DY32" s="216">
        <v>2</v>
      </c>
      <c r="DZ32" s="217">
        <v>10</v>
      </c>
      <c r="EA32" s="216">
        <v>1</v>
      </c>
      <c r="EB32" s="216">
        <v>5</v>
      </c>
      <c r="EC32" s="216">
        <v>5</v>
      </c>
      <c r="ED32" s="217">
        <v>10</v>
      </c>
      <c r="EE32" s="23" t="s">
        <v>160</v>
      </c>
      <c r="EF32" s="216">
        <v>8</v>
      </c>
      <c r="EG32" s="216">
        <v>4</v>
      </c>
      <c r="EH32" s="216">
        <v>4</v>
      </c>
      <c r="EI32" s="216">
        <v>3</v>
      </c>
      <c r="EJ32" s="216">
        <v>3</v>
      </c>
      <c r="EK32" s="216">
        <v>4</v>
      </c>
      <c r="EL32" s="216">
        <v>4</v>
      </c>
      <c r="EM32" s="216">
        <v>4</v>
      </c>
      <c r="EN32" s="216">
        <v>4</v>
      </c>
      <c r="EO32" s="216">
        <v>2</v>
      </c>
      <c r="EP32" s="216">
        <v>3</v>
      </c>
      <c r="EQ32" s="216">
        <v>3</v>
      </c>
      <c r="ER32" s="216">
        <v>7</v>
      </c>
      <c r="ES32" s="217">
        <v>10</v>
      </c>
      <c r="ET32" s="217">
        <v>10</v>
      </c>
      <c r="EU32" s="216">
        <v>2</v>
      </c>
      <c r="EV32" s="217">
        <v>10</v>
      </c>
      <c r="EW32" s="216">
        <v>1</v>
      </c>
      <c r="EX32" s="216">
        <v>5</v>
      </c>
      <c r="EY32" s="216">
        <v>5</v>
      </c>
      <c r="EZ32" s="217">
        <v>10</v>
      </c>
      <c r="FA32" s="23" t="s">
        <v>160</v>
      </c>
      <c r="FB32" s="216">
        <v>8</v>
      </c>
      <c r="FC32" s="216">
        <v>4</v>
      </c>
      <c r="FD32" s="216">
        <v>4</v>
      </c>
      <c r="FE32" s="216">
        <v>3</v>
      </c>
      <c r="FF32" s="216">
        <v>3</v>
      </c>
      <c r="FG32" s="216">
        <v>4</v>
      </c>
      <c r="FH32" s="216">
        <v>4</v>
      </c>
      <c r="FI32" s="216">
        <v>4</v>
      </c>
      <c r="FJ32" s="216">
        <v>4</v>
      </c>
      <c r="FK32" s="216">
        <v>2</v>
      </c>
      <c r="FL32" s="216">
        <v>3</v>
      </c>
      <c r="FM32" s="216">
        <v>3</v>
      </c>
      <c r="FN32" s="216">
        <v>7</v>
      </c>
      <c r="FO32" s="217">
        <v>10</v>
      </c>
      <c r="FP32" s="217">
        <v>10</v>
      </c>
      <c r="FQ32" s="216">
        <v>2</v>
      </c>
      <c r="FR32" s="217">
        <v>10</v>
      </c>
      <c r="FS32" s="216">
        <v>1</v>
      </c>
      <c r="FT32" s="216">
        <v>5</v>
      </c>
      <c r="FU32" s="216">
        <v>5</v>
      </c>
      <c r="FV32" s="217">
        <v>10</v>
      </c>
      <c r="FW32" s="23" t="s">
        <v>160</v>
      </c>
      <c r="FX32" s="216">
        <v>8</v>
      </c>
      <c r="FY32" s="216">
        <v>4</v>
      </c>
      <c r="FZ32" s="216">
        <v>4</v>
      </c>
      <c r="GA32" s="216">
        <v>3</v>
      </c>
      <c r="GB32" s="216">
        <v>3</v>
      </c>
      <c r="GC32" s="216">
        <v>4</v>
      </c>
      <c r="GD32" s="216">
        <v>4</v>
      </c>
      <c r="GE32" s="216">
        <v>4</v>
      </c>
      <c r="GF32" s="216">
        <v>4</v>
      </c>
      <c r="GG32" s="216">
        <v>2</v>
      </c>
      <c r="GH32" s="216">
        <v>3</v>
      </c>
      <c r="GI32" s="216">
        <v>3</v>
      </c>
      <c r="GJ32" s="216">
        <v>7</v>
      </c>
      <c r="GK32" s="217">
        <v>10</v>
      </c>
      <c r="GL32" s="217">
        <v>10</v>
      </c>
      <c r="GM32" s="216">
        <v>2</v>
      </c>
      <c r="GN32" s="217">
        <v>10</v>
      </c>
      <c r="GO32" s="216">
        <v>1</v>
      </c>
      <c r="GP32" s="216">
        <v>5</v>
      </c>
      <c r="GQ32" s="216">
        <v>5</v>
      </c>
      <c r="GR32" s="217">
        <v>10</v>
      </c>
      <c r="GS32" s="23" t="s">
        <v>160</v>
      </c>
      <c r="GT32" s="216">
        <v>8</v>
      </c>
      <c r="GU32" s="216">
        <v>4</v>
      </c>
      <c r="GV32" s="216">
        <v>4</v>
      </c>
      <c r="GW32" s="216">
        <v>3</v>
      </c>
      <c r="GX32" s="216">
        <v>3</v>
      </c>
      <c r="GY32" s="216">
        <v>4</v>
      </c>
      <c r="GZ32" s="216">
        <v>4</v>
      </c>
      <c r="HA32" s="216">
        <v>4</v>
      </c>
      <c r="HB32" s="216">
        <v>4</v>
      </c>
      <c r="HC32" s="216">
        <v>2</v>
      </c>
      <c r="HD32" s="216">
        <v>3</v>
      </c>
      <c r="HE32" s="216">
        <v>3</v>
      </c>
      <c r="HF32" s="216">
        <v>7</v>
      </c>
      <c r="HG32" s="217">
        <v>10</v>
      </c>
      <c r="HH32" s="217">
        <v>10</v>
      </c>
      <c r="HI32" s="216">
        <v>2</v>
      </c>
      <c r="HJ32" s="217">
        <v>10</v>
      </c>
      <c r="HK32" s="216">
        <v>1</v>
      </c>
      <c r="HL32" s="216">
        <v>5</v>
      </c>
      <c r="HM32" s="216">
        <v>5</v>
      </c>
      <c r="HN32" s="217">
        <v>10</v>
      </c>
      <c r="HO32" s="23" t="s">
        <v>160</v>
      </c>
      <c r="HP32" s="216">
        <v>8</v>
      </c>
      <c r="HQ32" s="216">
        <v>4</v>
      </c>
      <c r="HR32" s="216">
        <v>4</v>
      </c>
      <c r="HS32" s="216">
        <v>3</v>
      </c>
      <c r="HT32" s="216">
        <v>3</v>
      </c>
      <c r="HU32" s="216">
        <v>4</v>
      </c>
      <c r="HV32" s="216">
        <v>4</v>
      </c>
      <c r="HW32" s="216">
        <v>4</v>
      </c>
      <c r="HX32" s="216">
        <v>4</v>
      </c>
      <c r="HY32" s="216">
        <v>2</v>
      </c>
      <c r="HZ32" s="216">
        <v>3</v>
      </c>
      <c r="IA32" s="216">
        <v>3</v>
      </c>
      <c r="IB32" s="216">
        <v>7</v>
      </c>
      <c r="IC32" s="217">
        <v>10</v>
      </c>
      <c r="ID32" s="217">
        <v>10</v>
      </c>
      <c r="IE32" s="216">
        <v>2</v>
      </c>
      <c r="IF32" s="217">
        <v>10</v>
      </c>
      <c r="IG32" s="216">
        <v>1</v>
      </c>
      <c r="IH32" s="216">
        <v>5</v>
      </c>
      <c r="II32" s="216">
        <v>5</v>
      </c>
      <c r="IJ32" s="217">
        <v>10</v>
      </c>
      <c r="IK32" s="23" t="s">
        <v>160</v>
      </c>
      <c r="IL32" s="216">
        <v>8</v>
      </c>
      <c r="IM32" s="216">
        <v>4</v>
      </c>
      <c r="IN32" s="216">
        <v>4</v>
      </c>
      <c r="IO32" s="216">
        <v>3</v>
      </c>
      <c r="IP32" s="216">
        <v>3</v>
      </c>
      <c r="IQ32" s="216">
        <v>4</v>
      </c>
      <c r="IR32" s="216">
        <v>4</v>
      </c>
      <c r="IS32" s="216">
        <v>4</v>
      </c>
      <c r="IT32" s="216">
        <v>4</v>
      </c>
      <c r="IU32" s="216">
        <v>2</v>
      </c>
      <c r="IV32" s="216">
        <v>3</v>
      </c>
      <c r="IW32" s="216">
        <v>3</v>
      </c>
      <c r="IX32" s="216">
        <v>7</v>
      </c>
      <c r="IY32" s="217">
        <v>10</v>
      </c>
      <c r="IZ32" s="217">
        <v>10</v>
      </c>
      <c r="JA32" s="216">
        <v>2</v>
      </c>
      <c r="JB32" s="217">
        <v>10</v>
      </c>
      <c r="JC32" s="216">
        <v>1</v>
      </c>
      <c r="JD32" s="216">
        <v>5</v>
      </c>
      <c r="JE32" s="216">
        <v>5</v>
      </c>
      <c r="JF32" s="217">
        <v>10</v>
      </c>
      <c r="JG32" s="23" t="s">
        <v>160</v>
      </c>
      <c r="JH32" s="216">
        <v>8</v>
      </c>
      <c r="JI32" s="216">
        <v>4</v>
      </c>
      <c r="JJ32" s="216">
        <v>4</v>
      </c>
      <c r="JK32" s="216">
        <v>3</v>
      </c>
      <c r="JL32" s="216">
        <v>3</v>
      </c>
      <c r="JM32" s="216">
        <v>4</v>
      </c>
      <c r="JN32" s="216">
        <v>4</v>
      </c>
      <c r="JO32" s="216">
        <v>4</v>
      </c>
      <c r="JP32" s="216">
        <v>4</v>
      </c>
      <c r="JQ32" s="216">
        <v>2</v>
      </c>
      <c r="JR32" s="216">
        <v>3</v>
      </c>
      <c r="JS32" s="216">
        <v>3</v>
      </c>
      <c r="JT32" s="216">
        <v>7</v>
      </c>
      <c r="JU32" s="217">
        <v>10</v>
      </c>
      <c r="JV32" s="217">
        <v>10</v>
      </c>
      <c r="JW32" s="216">
        <v>2</v>
      </c>
      <c r="JX32" s="217">
        <v>10</v>
      </c>
      <c r="JY32" s="216">
        <v>1</v>
      </c>
      <c r="JZ32" s="216">
        <v>5</v>
      </c>
      <c r="KA32" s="216">
        <v>5</v>
      </c>
      <c r="KB32" s="217">
        <v>10</v>
      </c>
      <c r="KC32" s="23" t="s">
        <v>160</v>
      </c>
      <c r="KD32" s="216">
        <v>8</v>
      </c>
      <c r="KE32" s="216">
        <v>4</v>
      </c>
      <c r="KF32" s="216">
        <v>4</v>
      </c>
      <c r="KG32" s="216">
        <v>3</v>
      </c>
      <c r="KH32" s="216">
        <v>3</v>
      </c>
      <c r="KI32" s="216">
        <v>4</v>
      </c>
      <c r="KJ32" s="216">
        <v>4</v>
      </c>
      <c r="KK32" s="216">
        <v>4</v>
      </c>
      <c r="KL32" s="216">
        <v>4</v>
      </c>
      <c r="KM32" s="216">
        <v>2</v>
      </c>
      <c r="KN32" s="216">
        <v>3</v>
      </c>
      <c r="KO32" s="216">
        <v>3</v>
      </c>
      <c r="KP32" s="216">
        <v>7</v>
      </c>
      <c r="KQ32" s="217">
        <v>10</v>
      </c>
      <c r="KR32" s="217">
        <v>10</v>
      </c>
      <c r="KS32" s="216">
        <v>2</v>
      </c>
      <c r="KT32" s="217">
        <v>10</v>
      </c>
      <c r="KU32" s="216">
        <v>1</v>
      </c>
      <c r="KV32" s="216">
        <v>5</v>
      </c>
      <c r="KW32" s="216">
        <v>5</v>
      </c>
      <c r="KX32" s="217">
        <v>10</v>
      </c>
      <c r="KY32" s="23" t="s">
        <v>160</v>
      </c>
      <c r="KZ32" s="216">
        <v>8</v>
      </c>
    </row>
    <row r="33" spans="2:312" s="23" customFormat="1">
      <c r="B33" s="347"/>
      <c r="C33" s="127" t="s">
        <v>93</v>
      </c>
      <c r="D33" s="127" t="s">
        <v>94</v>
      </c>
      <c r="E33" s="219">
        <v>1.2537499999999999</v>
      </c>
      <c r="F33" s="219">
        <v>2.5074999999999998</v>
      </c>
      <c r="G33" s="219">
        <v>4.0990000000000002</v>
      </c>
      <c r="H33" s="219">
        <v>8.1980000000000004</v>
      </c>
      <c r="I33" s="219">
        <v>2.7030000000000003</v>
      </c>
      <c r="J33" s="219">
        <v>5.4060000000000006</v>
      </c>
      <c r="K33" s="219">
        <v>4.75</v>
      </c>
      <c r="L33" s="219">
        <v>9.5</v>
      </c>
      <c r="M33" s="219">
        <v>3.1</v>
      </c>
      <c r="N33" s="219">
        <v>1.25</v>
      </c>
      <c r="O33" s="219">
        <v>0.52600000000000002</v>
      </c>
      <c r="P33" s="219">
        <v>-36.564999999999998</v>
      </c>
      <c r="Q33" s="219">
        <v>0</v>
      </c>
      <c r="R33" s="219">
        <v>-7.9729999999999999</v>
      </c>
      <c r="S33" s="219">
        <v>0</v>
      </c>
      <c r="T33" s="219">
        <v>-1.7</v>
      </c>
      <c r="U33" s="219">
        <v>113</v>
      </c>
      <c r="V33" s="219">
        <v>0.62687499999999996</v>
      </c>
      <c r="W33" s="219">
        <v>1.2537499999999999</v>
      </c>
      <c r="X33" s="221" t="s">
        <v>160</v>
      </c>
      <c r="Y33" s="221" t="s">
        <v>160</v>
      </c>
      <c r="Z33" s="219">
        <v>-3.9864999999999999</v>
      </c>
      <c r="AA33" s="219">
        <v>1.2537499999999999</v>
      </c>
      <c r="AB33" s="219">
        <v>2.5074999999999998</v>
      </c>
      <c r="AC33" s="219">
        <v>4.0990000000000002</v>
      </c>
      <c r="AD33" s="219">
        <v>8.1980000000000004</v>
      </c>
      <c r="AE33" s="219">
        <v>2.7030000000000003</v>
      </c>
      <c r="AF33" s="219">
        <v>5.4060000000000006</v>
      </c>
      <c r="AG33" s="219">
        <v>4.75</v>
      </c>
      <c r="AH33" s="219">
        <v>9.5</v>
      </c>
      <c r="AI33" s="219">
        <v>3.1</v>
      </c>
      <c r="AJ33" s="219">
        <v>1.25</v>
      </c>
      <c r="AK33" s="219">
        <v>0.52600000000000002</v>
      </c>
      <c r="AL33" s="219">
        <v>-36.564999999999998</v>
      </c>
      <c r="AM33" s="219">
        <v>0</v>
      </c>
      <c r="AN33" s="219">
        <v>-7.9729999999999999</v>
      </c>
      <c r="AO33" s="219">
        <v>0</v>
      </c>
      <c r="AP33" s="219">
        <v>-1.7</v>
      </c>
      <c r="AQ33" s="219">
        <v>113</v>
      </c>
      <c r="AR33" s="219">
        <v>0.62687499999999996</v>
      </c>
      <c r="AS33" s="219">
        <v>1.2537499999999999</v>
      </c>
      <c r="AT33" s="221" t="s">
        <v>160</v>
      </c>
      <c r="AU33" s="221" t="s">
        <v>160</v>
      </c>
      <c r="AV33" s="219">
        <v>-3.9864999999999999</v>
      </c>
      <c r="AW33" s="219">
        <v>1.2537499999999999</v>
      </c>
      <c r="AX33" s="219">
        <v>2.5074999999999998</v>
      </c>
      <c r="AY33" s="219">
        <v>4.0990000000000002</v>
      </c>
      <c r="AZ33" s="219">
        <v>8.1980000000000004</v>
      </c>
      <c r="BA33" s="219">
        <v>2.7030000000000003</v>
      </c>
      <c r="BB33" s="219">
        <v>5.4060000000000006</v>
      </c>
      <c r="BC33" s="219">
        <v>4.75</v>
      </c>
      <c r="BD33" s="219">
        <v>9.5</v>
      </c>
      <c r="BE33" s="219">
        <v>3.1</v>
      </c>
      <c r="BF33" s="219">
        <v>1.25</v>
      </c>
      <c r="BG33" s="219">
        <v>0.52600000000000002</v>
      </c>
      <c r="BH33" s="219">
        <v>-36.564999999999998</v>
      </c>
      <c r="BI33" s="219">
        <v>0</v>
      </c>
      <c r="BJ33" s="219">
        <v>-7.9729999999999999</v>
      </c>
      <c r="BK33" s="219">
        <v>0</v>
      </c>
      <c r="BL33" s="219">
        <v>-1.7</v>
      </c>
      <c r="BM33" s="219">
        <v>113</v>
      </c>
      <c r="BN33" s="219">
        <v>0.62687499999999996</v>
      </c>
      <c r="BO33" s="219">
        <v>1.2537499999999999</v>
      </c>
      <c r="BP33" s="221" t="s">
        <v>160</v>
      </c>
      <c r="BQ33" s="221" t="s">
        <v>160</v>
      </c>
      <c r="BR33" s="219">
        <v>-3.9864999999999999</v>
      </c>
      <c r="BS33" s="219">
        <v>1.2537499999999999</v>
      </c>
      <c r="BT33" s="219">
        <v>2.5074999999999998</v>
      </c>
      <c r="BU33" s="219">
        <v>4.0990000000000002</v>
      </c>
      <c r="BV33" s="219">
        <v>8.1980000000000004</v>
      </c>
      <c r="BW33" s="219">
        <v>2.7030000000000003</v>
      </c>
      <c r="BX33" s="219">
        <v>5.4060000000000006</v>
      </c>
      <c r="BY33" s="219">
        <v>4.75</v>
      </c>
      <c r="BZ33" s="219">
        <v>9.5</v>
      </c>
      <c r="CA33" s="219">
        <v>3.1</v>
      </c>
      <c r="CB33" s="219">
        <v>1.25</v>
      </c>
      <c r="CC33" s="219">
        <v>0.52600000000000002</v>
      </c>
      <c r="CD33" s="219">
        <v>-36.564999999999998</v>
      </c>
      <c r="CE33" s="219">
        <v>0</v>
      </c>
      <c r="CF33" s="219">
        <v>-7.9729999999999999</v>
      </c>
      <c r="CG33" s="219">
        <v>0</v>
      </c>
      <c r="CH33" s="219">
        <v>-1.7</v>
      </c>
      <c r="CI33" s="219">
        <v>113</v>
      </c>
      <c r="CJ33" s="219">
        <v>0.62687499999999996</v>
      </c>
      <c r="CK33" s="219">
        <v>1.2537499999999999</v>
      </c>
      <c r="CL33" s="221" t="s">
        <v>160</v>
      </c>
      <c r="CM33" s="221" t="s">
        <v>160</v>
      </c>
      <c r="CN33" s="219">
        <v>-3.9864999999999999</v>
      </c>
      <c r="CO33" s="219">
        <v>1.2537499999999999</v>
      </c>
      <c r="CP33" s="219">
        <v>2.5074999999999998</v>
      </c>
      <c r="CQ33" s="219">
        <v>4.0990000000000002</v>
      </c>
      <c r="CR33" s="219">
        <v>8.1980000000000004</v>
      </c>
      <c r="CS33" s="219">
        <v>2.7030000000000003</v>
      </c>
      <c r="CT33" s="219">
        <v>5.4060000000000006</v>
      </c>
      <c r="CU33" s="219">
        <v>4.75</v>
      </c>
      <c r="CV33" s="219">
        <v>9.5</v>
      </c>
      <c r="CW33" s="219">
        <v>3.1</v>
      </c>
      <c r="CX33" s="219">
        <v>1.25</v>
      </c>
      <c r="CY33" s="219">
        <v>0.52600000000000002</v>
      </c>
      <c r="CZ33" s="219">
        <v>-36.564999999999998</v>
      </c>
      <c r="DA33" s="219">
        <v>0</v>
      </c>
      <c r="DB33" s="219">
        <v>-7.9729999999999999</v>
      </c>
      <c r="DC33" s="219">
        <v>0</v>
      </c>
      <c r="DD33" s="219">
        <v>-1.7</v>
      </c>
      <c r="DE33" s="219">
        <v>113</v>
      </c>
      <c r="DF33" s="219">
        <v>0.62687499999999996</v>
      </c>
      <c r="DG33" s="219">
        <v>1.2537499999999999</v>
      </c>
      <c r="DH33" s="221" t="s">
        <v>160</v>
      </c>
      <c r="DI33" s="221" t="s">
        <v>160</v>
      </c>
      <c r="DJ33" s="219">
        <v>-3.9864999999999999</v>
      </c>
      <c r="DK33" s="219">
        <v>1.2537499999999999</v>
      </c>
      <c r="DL33" s="219">
        <v>2.5074999999999998</v>
      </c>
      <c r="DM33" s="219">
        <v>4.0990000000000002</v>
      </c>
      <c r="DN33" s="219">
        <v>8.1980000000000004</v>
      </c>
      <c r="DO33" s="219">
        <v>2.7030000000000003</v>
      </c>
      <c r="DP33" s="219">
        <v>5.4060000000000006</v>
      </c>
      <c r="DQ33" s="219">
        <v>4.75</v>
      </c>
      <c r="DR33" s="219">
        <v>9.5</v>
      </c>
      <c r="DS33" s="219">
        <v>3.1</v>
      </c>
      <c r="DT33" s="219">
        <v>1.25</v>
      </c>
      <c r="DU33" s="219">
        <v>0.52600000000000002</v>
      </c>
      <c r="DV33" s="219">
        <v>-36.564999999999998</v>
      </c>
      <c r="DW33" s="219">
        <v>0</v>
      </c>
      <c r="DX33" s="219">
        <v>-7.9729999999999999</v>
      </c>
      <c r="DY33" s="219">
        <v>0</v>
      </c>
      <c r="DZ33" s="219">
        <v>-1.7</v>
      </c>
      <c r="EA33" s="219">
        <v>113</v>
      </c>
      <c r="EB33" s="219">
        <v>0.62687499999999996</v>
      </c>
      <c r="EC33" s="219">
        <v>1.2537499999999999</v>
      </c>
      <c r="ED33" s="221" t="s">
        <v>160</v>
      </c>
      <c r="EE33" s="221" t="s">
        <v>160</v>
      </c>
      <c r="EF33" s="219">
        <v>-3.9864999999999999</v>
      </c>
      <c r="EG33" s="219">
        <v>1.2537499999999999</v>
      </c>
      <c r="EH33" s="219">
        <v>2.5074999999999998</v>
      </c>
      <c r="EI33" s="219">
        <v>4.0990000000000002</v>
      </c>
      <c r="EJ33" s="219">
        <v>8.1980000000000004</v>
      </c>
      <c r="EK33" s="219">
        <v>2.7030000000000003</v>
      </c>
      <c r="EL33" s="219">
        <v>5.4060000000000006</v>
      </c>
      <c r="EM33" s="219">
        <v>4.75</v>
      </c>
      <c r="EN33" s="219">
        <v>9.5</v>
      </c>
      <c r="EO33" s="219">
        <v>3.1</v>
      </c>
      <c r="EP33" s="219">
        <v>1.25</v>
      </c>
      <c r="EQ33" s="219">
        <v>0.52600000000000002</v>
      </c>
      <c r="ER33" s="219">
        <v>-36.564999999999998</v>
      </c>
      <c r="ES33" s="219">
        <v>0</v>
      </c>
      <c r="ET33" s="219">
        <v>-7.9729999999999999</v>
      </c>
      <c r="EU33" s="219">
        <v>0</v>
      </c>
      <c r="EV33" s="219">
        <v>-1.7</v>
      </c>
      <c r="EW33" s="219">
        <v>113</v>
      </c>
      <c r="EX33" s="219">
        <v>0.62687499999999996</v>
      </c>
      <c r="EY33" s="219">
        <v>1.2537499999999999</v>
      </c>
      <c r="EZ33" s="221" t="s">
        <v>160</v>
      </c>
      <c r="FA33" s="221" t="s">
        <v>160</v>
      </c>
      <c r="FB33" s="219">
        <v>-3.9864999999999999</v>
      </c>
      <c r="FC33" s="219">
        <v>1.2537499999999999</v>
      </c>
      <c r="FD33" s="219">
        <v>2.5074999999999998</v>
      </c>
      <c r="FE33" s="219">
        <v>4.0990000000000002</v>
      </c>
      <c r="FF33" s="219">
        <v>8.1980000000000004</v>
      </c>
      <c r="FG33" s="219">
        <v>2.7030000000000003</v>
      </c>
      <c r="FH33" s="219">
        <v>5.4060000000000006</v>
      </c>
      <c r="FI33" s="219">
        <v>4.75</v>
      </c>
      <c r="FJ33" s="219">
        <v>9.5</v>
      </c>
      <c r="FK33" s="219">
        <v>3.1</v>
      </c>
      <c r="FL33" s="219">
        <v>1.25</v>
      </c>
      <c r="FM33" s="219">
        <v>0.52600000000000002</v>
      </c>
      <c r="FN33" s="219">
        <v>-36.564999999999998</v>
      </c>
      <c r="FO33" s="219">
        <v>0</v>
      </c>
      <c r="FP33" s="219">
        <v>-7.9729999999999999</v>
      </c>
      <c r="FQ33" s="219">
        <v>0</v>
      </c>
      <c r="FR33" s="220">
        <f>-1.7*0.5</f>
        <v>-0.85</v>
      </c>
      <c r="FS33" s="219">
        <v>113</v>
      </c>
      <c r="FT33" s="219">
        <v>0.62687499999999996</v>
      </c>
      <c r="FU33" s="219">
        <v>1.2537499999999999</v>
      </c>
      <c r="FV33" s="221" t="s">
        <v>160</v>
      </c>
      <c r="FW33" s="221" t="s">
        <v>160</v>
      </c>
      <c r="FX33" s="219">
        <v>-3.9864999999999999</v>
      </c>
      <c r="FY33" s="219">
        <v>1.2537499999999999</v>
      </c>
      <c r="FZ33" s="219">
        <v>2.5074999999999998</v>
      </c>
      <c r="GA33" s="219">
        <v>4.0990000000000002</v>
      </c>
      <c r="GB33" s="219">
        <v>8.1980000000000004</v>
      </c>
      <c r="GC33" s="219">
        <v>2.7030000000000003</v>
      </c>
      <c r="GD33" s="219">
        <v>5.4060000000000006</v>
      </c>
      <c r="GE33" s="219">
        <v>4.75</v>
      </c>
      <c r="GF33" s="219">
        <v>9.5</v>
      </c>
      <c r="GG33" s="219">
        <v>3.1</v>
      </c>
      <c r="GH33" s="219">
        <v>1.25</v>
      </c>
      <c r="GI33" s="219">
        <v>0.52600000000000002</v>
      </c>
      <c r="GJ33" s="219">
        <v>-36.564999999999998</v>
      </c>
      <c r="GK33" s="219">
        <v>0</v>
      </c>
      <c r="GL33" s="219">
        <v>-7.9729999999999999</v>
      </c>
      <c r="GM33" s="219">
        <v>0</v>
      </c>
      <c r="GN33" s="219">
        <v>-1.7</v>
      </c>
      <c r="GO33" s="219">
        <v>113</v>
      </c>
      <c r="GP33" s="219">
        <v>0.62687499999999996</v>
      </c>
      <c r="GQ33" s="219">
        <v>1.2537499999999999</v>
      </c>
      <c r="GR33" s="221" t="s">
        <v>160</v>
      </c>
      <c r="GS33" s="221" t="s">
        <v>160</v>
      </c>
      <c r="GT33" s="219">
        <v>-3.9864999999999999</v>
      </c>
      <c r="GU33" s="219">
        <v>1.2537499999999999</v>
      </c>
      <c r="GV33" s="219">
        <v>2.5074999999999998</v>
      </c>
      <c r="GW33" s="219">
        <v>4.0990000000000002</v>
      </c>
      <c r="GX33" s="219">
        <v>8.1980000000000004</v>
      </c>
      <c r="GY33" s="219">
        <v>2.7030000000000003</v>
      </c>
      <c r="GZ33" s="219">
        <v>5.4060000000000006</v>
      </c>
      <c r="HA33" s="219">
        <v>4.75</v>
      </c>
      <c r="HB33" s="219">
        <v>9.5</v>
      </c>
      <c r="HC33" s="219">
        <v>3.1</v>
      </c>
      <c r="HD33" s="219">
        <v>1.25</v>
      </c>
      <c r="HE33" s="219">
        <v>0.52600000000000002</v>
      </c>
      <c r="HF33" s="219">
        <v>-36.564999999999998</v>
      </c>
      <c r="HG33" s="219">
        <v>0</v>
      </c>
      <c r="HH33" s="219">
        <v>-7.9729999999999999</v>
      </c>
      <c r="HI33" s="219">
        <v>0</v>
      </c>
      <c r="HJ33" s="219">
        <f>-1.7</f>
        <v>-1.7</v>
      </c>
      <c r="HK33" s="219">
        <v>113</v>
      </c>
      <c r="HL33" s="219">
        <v>0.62687499999999996</v>
      </c>
      <c r="HM33" s="219">
        <v>1.2537499999999999</v>
      </c>
      <c r="HN33" s="221" t="s">
        <v>160</v>
      </c>
      <c r="HO33" s="221" t="s">
        <v>160</v>
      </c>
      <c r="HP33" s="219">
        <v>-3.9864999999999999</v>
      </c>
      <c r="HQ33" s="219">
        <v>1.2537499999999999</v>
      </c>
      <c r="HR33" s="219">
        <v>2.5074999999999998</v>
      </c>
      <c r="HS33" s="219">
        <v>4.0990000000000002</v>
      </c>
      <c r="HT33" s="219">
        <v>8.1980000000000004</v>
      </c>
      <c r="HU33" s="219">
        <v>2.7030000000000003</v>
      </c>
      <c r="HV33" s="219">
        <v>5.4060000000000006</v>
      </c>
      <c r="HW33" s="219">
        <v>4.75</v>
      </c>
      <c r="HX33" s="219">
        <v>9.5</v>
      </c>
      <c r="HY33" s="219">
        <v>3.1</v>
      </c>
      <c r="HZ33" s="219">
        <v>1.25</v>
      </c>
      <c r="IA33" s="219">
        <v>0.52600000000000002</v>
      </c>
      <c r="IB33" s="219">
        <v>-36.564999999999998</v>
      </c>
      <c r="IC33" s="219">
        <v>0</v>
      </c>
      <c r="ID33" s="219">
        <v>-7.9729999999999999</v>
      </c>
      <c r="IE33" s="219">
        <v>0</v>
      </c>
      <c r="IF33" s="219">
        <f>-1.7</f>
        <v>-1.7</v>
      </c>
      <c r="IG33" s="219">
        <v>113</v>
      </c>
      <c r="IH33" s="219">
        <v>0.62687499999999996</v>
      </c>
      <c r="II33" s="219">
        <v>1.2537499999999999</v>
      </c>
      <c r="IJ33" s="221" t="s">
        <v>160</v>
      </c>
      <c r="IK33" s="221" t="s">
        <v>160</v>
      </c>
      <c r="IL33" s="219">
        <v>-3.9864999999999999</v>
      </c>
      <c r="IM33" s="219">
        <v>1.2537499999999999</v>
      </c>
      <c r="IN33" s="219">
        <v>2.5074999999999998</v>
      </c>
      <c r="IO33" s="219">
        <v>4.0990000000000002</v>
      </c>
      <c r="IP33" s="219">
        <v>8.1980000000000004</v>
      </c>
      <c r="IQ33" s="219">
        <v>2.7030000000000003</v>
      </c>
      <c r="IR33" s="219">
        <v>5.4060000000000006</v>
      </c>
      <c r="IS33" s="219">
        <v>4.75</v>
      </c>
      <c r="IT33" s="219">
        <v>9.5</v>
      </c>
      <c r="IU33" s="219">
        <v>3.1</v>
      </c>
      <c r="IV33" s="219">
        <v>1.25</v>
      </c>
      <c r="IW33" s="219">
        <v>0.52600000000000002</v>
      </c>
      <c r="IX33" s="219">
        <v>-36.564999999999998</v>
      </c>
      <c r="IY33" s="219">
        <v>0</v>
      </c>
      <c r="IZ33" s="219">
        <v>-7.9729999999999999</v>
      </c>
      <c r="JA33" s="219">
        <v>0</v>
      </c>
      <c r="JB33" s="219">
        <f>-1.7</f>
        <v>-1.7</v>
      </c>
      <c r="JC33" s="219">
        <v>113</v>
      </c>
      <c r="JD33" s="219">
        <v>0.62687499999999996</v>
      </c>
      <c r="JE33" s="219">
        <v>1.2537499999999999</v>
      </c>
      <c r="JF33" s="221" t="s">
        <v>160</v>
      </c>
      <c r="JG33" s="221" t="s">
        <v>160</v>
      </c>
      <c r="JH33" s="219">
        <v>-3.9864999999999999</v>
      </c>
      <c r="JI33" s="219">
        <v>1.2537499999999999</v>
      </c>
      <c r="JJ33" s="219">
        <v>2.5074999999999998</v>
      </c>
      <c r="JK33" s="219">
        <v>4.0990000000000002</v>
      </c>
      <c r="JL33" s="219">
        <v>8.1980000000000004</v>
      </c>
      <c r="JM33" s="219">
        <v>2.7030000000000003</v>
      </c>
      <c r="JN33" s="219">
        <v>5.4060000000000006</v>
      </c>
      <c r="JO33" s="219">
        <v>4.75</v>
      </c>
      <c r="JP33" s="219">
        <v>9.5</v>
      </c>
      <c r="JQ33" s="219">
        <v>3.1</v>
      </c>
      <c r="JR33" s="219">
        <v>1.25</v>
      </c>
      <c r="JS33" s="219">
        <v>0.52600000000000002</v>
      </c>
      <c r="JT33" s="219">
        <v>-36.564999999999998</v>
      </c>
      <c r="JU33" s="219">
        <v>0</v>
      </c>
      <c r="JV33" s="219">
        <v>-7.9729999999999999</v>
      </c>
      <c r="JW33" s="219">
        <v>0</v>
      </c>
      <c r="JX33" s="219">
        <f>-1.7</f>
        <v>-1.7</v>
      </c>
      <c r="JY33" s="219">
        <v>113</v>
      </c>
      <c r="JZ33" s="219">
        <v>0.62687499999999996</v>
      </c>
      <c r="KA33" s="219">
        <v>1.2537499999999999</v>
      </c>
      <c r="KB33" s="221" t="s">
        <v>160</v>
      </c>
      <c r="KC33" s="221" t="s">
        <v>160</v>
      </c>
      <c r="KD33" s="219">
        <v>-3.9864999999999999</v>
      </c>
      <c r="KE33" s="219">
        <v>1.2537499999999999</v>
      </c>
      <c r="KF33" s="219">
        <v>2.5074999999999998</v>
      </c>
      <c r="KG33" s="219">
        <v>4.0990000000000002</v>
      </c>
      <c r="KH33" s="219">
        <v>8.1980000000000004</v>
      </c>
      <c r="KI33" s="219">
        <v>2.7030000000000003</v>
      </c>
      <c r="KJ33" s="219">
        <v>5.4060000000000006</v>
      </c>
      <c r="KK33" s="219">
        <v>4.75</v>
      </c>
      <c r="KL33" s="219">
        <v>9.5</v>
      </c>
      <c r="KM33" s="219">
        <v>3.1</v>
      </c>
      <c r="KN33" s="219">
        <v>1.25</v>
      </c>
      <c r="KO33" s="219">
        <v>0.52600000000000002</v>
      </c>
      <c r="KP33" s="219">
        <v>-36.564999999999998</v>
      </c>
      <c r="KQ33" s="219">
        <v>0</v>
      </c>
      <c r="KR33" s="219">
        <v>-7.9729999999999999</v>
      </c>
      <c r="KS33" s="219">
        <v>0</v>
      </c>
      <c r="KT33" s="219">
        <f>-1.7</f>
        <v>-1.7</v>
      </c>
      <c r="KU33" s="219">
        <v>113</v>
      </c>
      <c r="KV33" s="219">
        <v>0.62687499999999996</v>
      </c>
      <c r="KW33" s="219">
        <v>1.2537499999999999</v>
      </c>
      <c r="KX33" s="221" t="s">
        <v>160</v>
      </c>
      <c r="KY33" s="221" t="s">
        <v>160</v>
      </c>
      <c r="KZ33" s="219">
        <v>-3.9864999999999999</v>
      </c>
    </row>
    <row r="34" spans="2:312" s="23" customFormat="1">
      <c r="B34" s="341" t="s">
        <v>95</v>
      </c>
      <c r="C34" s="23" t="s">
        <v>96</v>
      </c>
      <c r="D34" s="23" t="s">
        <v>84</v>
      </c>
      <c r="E34" s="218">
        <v>10</v>
      </c>
      <c r="F34" s="218">
        <v>10</v>
      </c>
      <c r="G34" s="218">
        <v>10</v>
      </c>
      <c r="H34" s="218">
        <v>10</v>
      </c>
      <c r="I34" s="218">
        <v>10</v>
      </c>
      <c r="J34" s="218">
        <v>10</v>
      </c>
      <c r="K34" s="218">
        <v>10</v>
      </c>
      <c r="L34" s="218">
        <v>10</v>
      </c>
      <c r="M34" s="218">
        <v>10</v>
      </c>
      <c r="N34" s="218">
        <v>10</v>
      </c>
      <c r="O34" s="218">
        <v>10</v>
      </c>
      <c r="P34" s="218">
        <v>8</v>
      </c>
      <c r="Q34" s="218">
        <v>10</v>
      </c>
      <c r="R34" s="218">
        <v>10</v>
      </c>
      <c r="S34" s="218">
        <v>10</v>
      </c>
      <c r="T34" s="218">
        <v>10</v>
      </c>
      <c r="U34" s="218">
        <v>3</v>
      </c>
      <c r="V34" s="218">
        <v>10</v>
      </c>
      <c r="W34" s="218">
        <v>10</v>
      </c>
      <c r="X34" s="23" t="s">
        <v>160</v>
      </c>
      <c r="Y34" s="23" t="s">
        <v>160</v>
      </c>
      <c r="Z34" s="23" t="s">
        <v>160</v>
      </c>
      <c r="AA34" s="218">
        <v>10</v>
      </c>
      <c r="AB34" s="218">
        <v>10</v>
      </c>
      <c r="AC34" s="218">
        <v>10</v>
      </c>
      <c r="AD34" s="218">
        <v>10</v>
      </c>
      <c r="AE34" s="218">
        <v>10</v>
      </c>
      <c r="AF34" s="218">
        <v>10</v>
      </c>
      <c r="AG34" s="218">
        <v>10</v>
      </c>
      <c r="AH34" s="218">
        <v>10</v>
      </c>
      <c r="AI34" s="218">
        <v>10</v>
      </c>
      <c r="AJ34" s="218">
        <v>10</v>
      </c>
      <c r="AK34" s="218">
        <v>10</v>
      </c>
      <c r="AL34" s="218">
        <v>8</v>
      </c>
      <c r="AM34" s="218">
        <v>10</v>
      </c>
      <c r="AN34" s="218">
        <v>10</v>
      </c>
      <c r="AO34" s="218">
        <v>10</v>
      </c>
      <c r="AP34" s="218">
        <v>10</v>
      </c>
      <c r="AQ34" s="218">
        <v>3</v>
      </c>
      <c r="AR34" s="218">
        <v>10</v>
      </c>
      <c r="AS34" s="218">
        <v>10</v>
      </c>
      <c r="AT34" s="23" t="s">
        <v>160</v>
      </c>
      <c r="AU34" s="23" t="s">
        <v>160</v>
      </c>
      <c r="AV34" s="23" t="s">
        <v>160</v>
      </c>
      <c r="AW34" s="218">
        <v>10</v>
      </c>
      <c r="AX34" s="218">
        <v>10</v>
      </c>
      <c r="AY34" s="218">
        <v>10</v>
      </c>
      <c r="AZ34" s="218">
        <v>10</v>
      </c>
      <c r="BA34" s="218">
        <v>10</v>
      </c>
      <c r="BB34" s="218">
        <v>10</v>
      </c>
      <c r="BC34" s="218">
        <v>10</v>
      </c>
      <c r="BD34" s="218">
        <v>10</v>
      </c>
      <c r="BE34" s="218">
        <v>10</v>
      </c>
      <c r="BF34" s="218">
        <v>10</v>
      </c>
      <c r="BG34" s="218">
        <v>10</v>
      </c>
      <c r="BH34" s="218">
        <v>8</v>
      </c>
      <c r="BI34" s="218">
        <v>10</v>
      </c>
      <c r="BJ34" s="218">
        <v>10</v>
      </c>
      <c r="BK34" s="218">
        <v>10</v>
      </c>
      <c r="BL34" s="218">
        <v>10</v>
      </c>
      <c r="BM34" s="218">
        <v>3</v>
      </c>
      <c r="BN34" s="218">
        <v>10</v>
      </c>
      <c r="BO34" s="218">
        <v>10</v>
      </c>
      <c r="BP34" s="23" t="s">
        <v>160</v>
      </c>
      <c r="BQ34" s="23" t="s">
        <v>160</v>
      </c>
      <c r="BR34" s="23" t="s">
        <v>160</v>
      </c>
      <c r="BS34" s="218">
        <v>10</v>
      </c>
      <c r="BT34" s="218">
        <v>10</v>
      </c>
      <c r="BU34" s="218">
        <v>10</v>
      </c>
      <c r="BV34" s="218">
        <v>10</v>
      </c>
      <c r="BW34" s="218">
        <v>10</v>
      </c>
      <c r="BX34" s="218">
        <v>10</v>
      </c>
      <c r="BY34" s="218">
        <v>10</v>
      </c>
      <c r="BZ34" s="218">
        <v>10</v>
      </c>
      <c r="CA34" s="218">
        <v>10</v>
      </c>
      <c r="CB34" s="218">
        <v>10</v>
      </c>
      <c r="CC34" s="218">
        <v>10</v>
      </c>
      <c r="CD34" s="218">
        <v>8</v>
      </c>
      <c r="CE34" s="218">
        <v>10</v>
      </c>
      <c r="CF34" s="218">
        <v>10</v>
      </c>
      <c r="CG34" s="218">
        <v>10</v>
      </c>
      <c r="CH34" s="218">
        <v>10</v>
      </c>
      <c r="CI34" s="218">
        <v>3</v>
      </c>
      <c r="CJ34" s="218">
        <v>10</v>
      </c>
      <c r="CK34" s="218">
        <v>10</v>
      </c>
      <c r="CL34" s="23" t="s">
        <v>160</v>
      </c>
      <c r="CM34" s="23" t="s">
        <v>160</v>
      </c>
      <c r="CN34" s="23" t="s">
        <v>160</v>
      </c>
      <c r="CO34" s="218">
        <v>10</v>
      </c>
      <c r="CP34" s="218">
        <v>10</v>
      </c>
      <c r="CQ34" s="218">
        <v>10</v>
      </c>
      <c r="CR34" s="218">
        <v>10</v>
      </c>
      <c r="CS34" s="218">
        <v>10</v>
      </c>
      <c r="CT34" s="218">
        <v>10</v>
      </c>
      <c r="CU34" s="218">
        <v>10</v>
      </c>
      <c r="CV34" s="218">
        <v>10</v>
      </c>
      <c r="CW34" s="218">
        <v>10</v>
      </c>
      <c r="CX34" s="218">
        <v>10</v>
      </c>
      <c r="CY34" s="218">
        <v>10</v>
      </c>
      <c r="CZ34" s="218">
        <v>8</v>
      </c>
      <c r="DA34" s="218">
        <v>10</v>
      </c>
      <c r="DB34" s="218">
        <v>10</v>
      </c>
      <c r="DC34" s="218">
        <v>10</v>
      </c>
      <c r="DD34" s="218">
        <v>10</v>
      </c>
      <c r="DE34" s="218">
        <v>3</v>
      </c>
      <c r="DF34" s="218">
        <v>10</v>
      </c>
      <c r="DG34" s="218">
        <v>10</v>
      </c>
      <c r="DH34" s="23" t="s">
        <v>160</v>
      </c>
      <c r="DI34" s="23" t="s">
        <v>160</v>
      </c>
      <c r="DJ34" s="23" t="s">
        <v>160</v>
      </c>
      <c r="DK34" s="218">
        <v>10</v>
      </c>
      <c r="DL34" s="218">
        <v>10</v>
      </c>
      <c r="DM34" s="218">
        <v>10</v>
      </c>
      <c r="DN34" s="218">
        <v>10</v>
      </c>
      <c r="DO34" s="218">
        <v>10</v>
      </c>
      <c r="DP34" s="218">
        <v>10</v>
      </c>
      <c r="DQ34" s="218">
        <v>10</v>
      </c>
      <c r="DR34" s="218">
        <v>10</v>
      </c>
      <c r="DS34" s="218">
        <v>10</v>
      </c>
      <c r="DT34" s="218">
        <v>10</v>
      </c>
      <c r="DU34" s="218">
        <v>10</v>
      </c>
      <c r="DV34" s="218">
        <v>8</v>
      </c>
      <c r="DW34" s="218">
        <v>10</v>
      </c>
      <c r="DX34" s="218">
        <v>10</v>
      </c>
      <c r="DY34" s="218">
        <v>10</v>
      </c>
      <c r="DZ34" s="218">
        <v>10</v>
      </c>
      <c r="EA34" s="218">
        <v>3</v>
      </c>
      <c r="EB34" s="218">
        <v>10</v>
      </c>
      <c r="EC34" s="218">
        <v>10</v>
      </c>
      <c r="ED34" s="23" t="s">
        <v>160</v>
      </c>
      <c r="EE34" s="23" t="s">
        <v>160</v>
      </c>
      <c r="EF34" s="23" t="s">
        <v>160</v>
      </c>
      <c r="EG34" s="218">
        <v>10</v>
      </c>
      <c r="EH34" s="218">
        <v>10</v>
      </c>
      <c r="EI34" s="218">
        <v>10</v>
      </c>
      <c r="EJ34" s="218">
        <v>10</v>
      </c>
      <c r="EK34" s="218">
        <v>10</v>
      </c>
      <c r="EL34" s="218">
        <v>10</v>
      </c>
      <c r="EM34" s="218">
        <v>10</v>
      </c>
      <c r="EN34" s="218">
        <v>10</v>
      </c>
      <c r="EO34" s="218">
        <v>10</v>
      </c>
      <c r="EP34" s="218">
        <v>10</v>
      </c>
      <c r="EQ34" s="218">
        <v>10</v>
      </c>
      <c r="ER34" s="218">
        <v>8</v>
      </c>
      <c r="ES34" s="218">
        <v>10</v>
      </c>
      <c r="ET34" s="218">
        <v>10</v>
      </c>
      <c r="EU34" s="218">
        <v>10</v>
      </c>
      <c r="EV34" s="218">
        <v>10</v>
      </c>
      <c r="EW34" s="218">
        <v>3</v>
      </c>
      <c r="EX34" s="218">
        <v>10</v>
      </c>
      <c r="EY34" s="218">
        <v>10</v>
      </c>
      <c r="EZ34" s="23" t="s">
        <v>160</v>
      </c>
      <c r="FA34" s="23" t="s">
        <v>160</v>
      </c>
      <c r="FB34" s="23" t="s">
        <v>160</v>
      </c>
      <c r="FC34" s="218">
        <v>10</v>
      </c>
      <c r="FD34" s="218">
        <v>10</v>
      </c>
      <c r="FE34" s="218">
        <v>10</v>
      </c>
      <c r="FF34" s="218">
        <v>10</v>
      </c>
      <c r="FG34" s="218">
        <v>10</v>
      </c>
      <c r="FH34" s="218">
        <v>10</v>
      </c>
      <c r="FI34" s="218">
        <v>10</v>
      </c>
      <c r="FJ34" s="218">
        <v>10</v>
      </c>
      <c r="FK34" s="218">
        <v>10</v>
      </c>
      <c r="FL34" s="218">
        <v>10</v>
      </c>
      <c r="FM34" s="218">
        <v>10</v>
      </c>
      <c r="FN34" s="218">
        <v>8</v>
      </c>
      <c r="FO34" s="218">
        <v>10</v>
      </c>
      <c r="FP34" s="218">
        <v>10</v>
      </c>
      <c r="FQ34" s="218">
        <v>10</v>
      </c>
      <c r="FR34" s="218">
        <v>10</v>
      </c>
      <c r="FS34" s="218">
        <v>3</v>
      </c>
      <c r="FT34" s="218">
        <v>10</v>
      </c>
      <c r="FU34" s="218">
        <v>10</v>
      </c>
      <c r="FV34" s="23" t="s">
        <v>160</v>
      </c>
      <c r="FW34" s="23" t="s">
        <v>160</v>
      </c>
      <c r="FX34" s="23" t="s">
        <v>160</v>
      </c>
      <c r="FY34" s="218">
        <v>10</v>
      </c>
      <c r="FZ34" s="218">
        <v>10</v>
      </c>
      <c r="GA34" s="218">
        <v>10</v>
      </c>
      <c r="GB34" s="218">
        <v>10</v>
      </c>
      <c r="GC34" s="218">
        <v>10</v>
      </c>
      <c r="GD34" s="218">
        <v>10</v>
      </c>
      <c r="GE34" s="218">
        <v>10</v>
      </c>
      <c r="GF34" s="218">
        <v>10</v>
      </c>
      <c r="GG34" s="218">
        <v>10</v>
      </c>
      <c r="GH34" s="218">
        <v>10</v>
      </c>
      <c r="GI34" s="218">
        <v>10</v>
      </c>
      <c r="GJ34" s="218">
        <v>8</v>
      </c>
      <c r="GK34" s="218">
        <v>10</v>
      </c>
      <c r="GL34" s="218">
        <v>10</v>
      </c>
      <c r="GM34" s="218">
        <v>10</v>
      </c>
      <c r="GN34" s="218">
        <v>10</v>
      </c>
      <c r="GO34" s="218">
        <v>3</v>
      </c>
      <c r="GP34" s="218">
        <v>10</v>
      </c>
      <c r="GQ34" s="218">
        <v>10</v>
      </c>
      <c r="GR34" s="23" t="s">
        <v>160</v>
      </c>
      <c r="GS34" s="23" t="s">
        <v>160</v>
      </c>
      <c r="GT34" s="23" t="s">
        <v>160</v>
      </c>
      <c r="GU34" s="218">
        <v>10</v>
      </c>
      <c r="GV34" s="218">
        <v>10</v>
      </c>
      <c r="GW34" s="218">
        <v>10</v>
      </c>
      <c r="GX34" s="218">
        <v>10</v>
      </c>
      <c r="GY34" s="218">
        <v>10</v>
      </c>
      <c r="GZ34" s="218">
        <v>10</v>
      </c>
      <c r="HA34" s="218">
        <v>10</v>
      </c>
      <c r="HB34" s="218">
        <v>10</v>
      </c>
      <c r="HC34" s="218">
        <v>10</v>
      </c>
      <c r="HD34" s="218">
        <v>10</v>
      </c>
      <c r="HE34" s="218">
        <v>10</v>
      </c>
      <c r="HF34" s="218">
        <v>8</v>
      </c>
      <c r="HG34" s="218">
        <v>10</v>
      </c>
      <c r="HH34" s="218">
        <v>10</v>
      </c>
      <c r="HI34" s="218">
        <v>10</v>
      </c>
      <c r="HJ34" s="218">
        <v>10</v>
      </c>
      <c r="HK34" s="218">
        <v>3</v>
      </c>
      <c r="HL34" s="218">
        <v>10</v>
      </c>
      <c r="HM34" s="218">
        <v>10</v>
      </c>
      <c r="HN34" s="23" t="s">
        <v>160</v>
      </c>
      <c r="HO34" s="23" t="s">
        <v>160</v>
      </c>
      <c r="HP34" s="23" t="s">
        <v>160</v>
      </c>
      <c r="HQ34" s="218">
        <v>10</v>
      </c>
      <c r="HR34" s="218">
        <v>10</v>
      </c>
      <c r="HS34" s="218">
        <v>10</v>
      </c>
      <c r="HT34" s="218">
        <v>10</v>
      </c>
      <c r="HU34" s="218">
        <v>10</v>
      </c>
      <c r="HV34" s="218">
        <v>10</v>
      </c>
      <c r="HW34" s="218">
        <v>10</v>
      </c>
      <c r="HX34" s="218">
        <v>10</v>
      </c>
      <c r="HY34" s="218">
        <v>10</v>
      </c>
      <c r="HZ34" s="218">
        <v>10</v>
      </c>
      <c r="IA34" s="218">
        <v>10</v>
      </c>
      <c r="IB34" s="218">
        <v>8</v>
      </c>
      <c r="IC34" s="218">
        <v>10</v>
      </c>
      <c r="ID34" s="218">
        <v>10</v>
      </c>
      <c r="IE34" s="218">
        <v>10</v>
      </c>
      <c r="IF34" s="218">
        <v>10</v>
      </c>
      <c r="IG34" s="218">
        <v>3</v>
      </c>
      <c r="IH34" s="218">
        <v>10</v>
      </c>
      <c r="II34" s="218">
        <v>10</v>
      </c>
      <c r="IJ34" s="23" t="s">
        <v>160</v>
      </c>
      <c r="IK34" s="23" t="s">
        <v>160</v>
      </c>
      <c r="IL34" s="23" t="s">
        <v>160</v>
      </c>
      <c r="IM34" s="218">
        <v>10</v>
      </c>
      <c r="IN34" s="218">
        <v>10</v>
      </c>
      <c r="IO34" s="218">
        <v>10</v>
      </c>
      <c r="IP34" s="218">
        <v>10</v>
      </c>
      <c r="IQ34" s="218">
        <v>10</v>
      </c>
      <c r="IR34" s="218">
        <v>10</v>
      </c>
      <c r="IS34" s="218">
        <v>10</v>
      </c>
      <c r="IT34" s="218">
        <v>10</v>
      </c>
      <c r="IU34" s="218">
        <v>10</v>
      </c>
      <c r="IV34" s="218">
        <v>10</v>
      </c>
      <c r="IW34" s="218">
        <v>10</v>
      </c>
      <c r="IX34" s="218">
        <v>8</v>
      </c>
      <c r="IY34" s="218">
        <v>10</v>
      </c>
      <c r="IZ34" s="218">
        <v>10</v>
      </c>
      <c r="JA34" s="218">
        <v>10</v>
      </c>
      <c r="JB34" s="218">
        <v>10</v>
      </c>
      <c r="JC34" s="218">
        <v>3</v>
      </c>
      <c r="JD34" s="218">
        <v>10</v>
      </c>
      <c r="JE34" s="218">
        <v>10</v>
      </c>
      <c r="JF34" s="23" t="s">
        <v>160</v>
      </c>
      <c r="JG34" s="23" t="s">
        <v>160</v>
      </c>
      <c r="JH34" s="23" t="s">
        <v>160</v>
      </c>
      <c r="JI34" s="218">
        <v>10</v>
      </c>
      <c r="JJ34" s="218">
        <v>10</v>
      </c>
      <c r="JK34" s="218">
        <v>10</v>
      </c>
      <c r="JL34" s="218">
        <v>10</v>
      </c>
      <c r="JM34" s="218">
        <v>10</v>
      </c>
      <c r="JN34" s="218">
        <v>10</v>
      </c>
      <c r="JO34" s="218">
        <v>10</v>
      </c>
      <c r="JP34" s="218">
        <v>10</v>
      </c>
      <c r="JQ34" s="218">
        <v>10</v>
      </c>
      <c r="JR34" s="218">
        <v>10</v>
      </c>
      <c r="JS34" s="218">
        <v>10</v>
      </c>
      <c r="JT34" s="218">
        <v>8</v>
      </c>
      <c r="JU34" s="218">
        <v>10</v>
      </c>
      <c r="JV34" s="218">
        <v>10</v>
      </c>
      <c r="JW34" s="218">
        <v>10</v>
      </c>
      <c r="JX34" s="218">
        <v>10</v>
      </c>
      <c r="JY34" s="218">
        <v>3</v>
      </c>
      <c r="JZ34" s="218">
        <v>10</v>
      </c>
      <c r="KA34" s="218">
        <v>10</v>
      </c>
      <c r="KB34" s="23" t="s">
        <v>160</v>
      </c>
      <c r="KC34" s="23" t="s">
        <v>160</v>
      </c>
      <c r="KD34" s="23" t="s">
        <v>160</v>
      </c>
      <c r="KE34" s="218">
        <v>10</v>
      </c>
      <c r="KF34" s="218">
        <v>10</v>
      </c>
      <c r="KG34" s="218">
        <v>10</v>
      </c>
      <c r="KH34" s="218">
        <v>10</v>
      </c>
      <c r="KI34" s="218">
        <v>10</v>
      </c>
      <c r="KJ34" s="218">
        <v>10</v>
      </c>
      <c r="KK34" s="218">
        <v>10</v>
      </c>
      <c r="KL34" s="218">
        <v>10</v>
      </c>
      <c r="KM34" s="218">
        <v>10</v>
      </c>
      <c r="KN34" s="218">
        <v>10</v>
      </c>
      <c r="KO34" s="218">
        <v>10</v>
      </c>
      <c r="KP34" s="218">
        <v>8</v>
      </c>
      <c r="KQ34" s="218">
        <v>10</v>
      </c>
      <c r="KR34" s="218">
        <v>10</v>
      </c>
      <c r="KS34" s="218">
        <v>10</v>
      </c>
      <c r="KT34" s="218">
        <v>10</v>
      </c>
      <c r="KU34" s="218">
        <v>3</v>
      </c>
      <c r="KV34" s="218">
        <v>10</v>
      </c>
      <c r="KW34" s="218">
        <v>10</v>
      </c>
      <c r="KX34" s="23" t="s">
        <v>160</v>
      </c>
      <c r="KY34" s="23" t="s">
        <v>160</v>
      </c>
      <c r="KZ34" s="23" t="s">
        <v>160</v>
      </c>
    </row>
    <row r="35" spans="2:312" s="23" customFormat="1">
      <c r="B35" s="342"/>
      <c r="C35" s="23" t="s">
        <v>97</v>
      </c>
      <c r="D35" s="23" t="s">
        <v>84</v>
      </c>
      <c r="E35" s="218">
        <v>4</v>
      </c>
      <c r="F35" s="218">
        <v>4</v>
      </c>
      <c r="G35" s="218">
        <v>4</v>
      </c>
      <c r="H35" s="218">
        <v>4</v>
      </c>
      <c r="I35" s="218">
        <v>4</v>
      </c>
      <c r="J35" s="218">
        <v>4</v>
      </c>
      <c r="K35" s="218">
        <v>4</v>
      </c>
      <c r="L35" s="218">
        <v>4</v>
      </c>
      <c r="M35" s="218">
        <v>4</v>
      </c>
      <c r="N35" s="218">
        <v>4</v>
      </c>
      <c r="O35" s="218">
        <v>4</v>
      </c>
      <c r="P35" s="218">
        <v>2</v>
      </c>
      <c r="Q35" s="218">
        <v>2</v>
      </c>
      <c r="R35" s="218">
        <v>2</v>
      </c>
      <c r="S35" s="218">
        <v>8</v>
      </c>
      <c r="T35" s="334">
        <v>2</v>
      </c>
      <c r="U35" s="218">
        <v>9</v>
      </c>
      <c r="V35" s="218">
        <v>9</v>
      </c>
      <c r="W35" s="218">
        <v>9</v>
      </c>
      <c r="X35" s="23" t="s">
        <v>160</v>
      </c>
      <c r="Y35" s="23" t="s">
        <v>160</v>
      </c>
      <c r="Z35" s="23" t="s">
        <v>160</v>
      </c>
      <c r="AA35" s="218">
        <v>4</v>
      </c>
      <c r="AB35" s="218">
        <v>4</v>
      </c>
      <c r="AC35" s="218">
        <v>4</v>
      </c>
      <c r="AD35" s="218">
        <v>4</v>
      </c>
      <c r="AE35" s="218">
        <v>4</v>
      </c>
      <c r="AF35" s="218">
        <v>4</v>
      </c>
      <c r="AG35" s="218">
        <v>4</v>
      </c>
      <c r="AH35" s="218">
        <v>4</v>
      </c>
      <c r="AI35" s="218">
        <v>4</v>
      </c>
      <c r="AJ35" s="218">
        <v>4</v>
      </c>
      <c r="AK35" s="218">
        <v>4</v>
      </c>
      <c r="AL35" s="218">
        <v>2</v>
      </c>
      <c r="AM35" s="218">
        <v>2</v>
      </c>
      <c r="AN35" s="218">
        <v>2</v>
      </c>
      <c r="AO35" s="218">
        <v>8</v>
      </c>
      <c r="AP35" s="334">
        <v>2</v>
      </c>
      <c r="AQ35" s="218">
        <v>9</v>
      </c>
      <c r="AR35" s="218">
        <v>9</v>
      </c>
      <c r="AS35" s="218">
        <v>9</v>
      </c>
      <c r="AT35" s="23" t="s">
        <v>160</v>
      </c>
      <c r="AU35" s="23" t="s">
        <v>160</v>
      </c>
      <c r="AV35" s="23" t="s">
        <v>160</v>
      </c>
      <c r="AW35" s="218">
        <v>4</v>
      </c>
      <c r="AX35" s="218">
        <v>4</v>
      </c>
      <c r="AY35" s="218">
        <v>4</v>
      </c>
      <c r="AZ35" s="218">
        <v>4</v>
      </c>
      <c r="BA35" s="218">
        <v>4</v>
      </c>
      <c r="BB35" s="218">
        <v>4</v>
      </c>
      <c r="BC35" s="218">
        <v>4</v>
      </c>
      <c r="BD35" s="218">
        <v>4</v>
      </c>
      <c r="BE35" s="218">
        <v>4</v>
      </c>
      <c r="BF35" s="218">
        <v>4</v>
      </c>
      <c r="BG35" s="218">
        <v>4</v>
      </c>
      <c r="BH35" s="218">
        <v>2</v>
      </c>
      <c r="BI35" s="218">
        <v>2</v>
      </c>
      <c r="BJ35" s="218">
        <v>2</v>
      </c>
      <c r="BK35" s="218">
        <v>8</v>
      </c>
      <c r="BL35" s="334">
        <v>2</v>
      </c>
      <c r="BM35" s="218">
        <v>9</v>
      </c>
      <c r="BN35" s="218">
        <v>9</v>
      </c>
      <c r="BO35" s="218">
        <v>9</v>
      </c>
      <c r="BP35" s="23" t="s">
        <v>160</v>
      </c>
      <c r="BQ35" s="23" t="s">
        <v>160</v>
      </c>
      <c r="BR35" s="23" t="s">
        <v>160</v>
      </c>
      <c r="BS35" s="218">
        <v>4</v>
      </c>
      <c r="BT35" s="218">
        <v>4</v>
      </c>
      <c r="BU35" s="218">
        <v>4</v>
      </c>
      <c r="BV35" s="218">
        <v>4</v>
      </c>
      <c r="BW35" s="218">
        <v>4</v>
      </c>
      <c r="BX35" s="218">
        <v>4</v>
      </c>
      <c r="BY35" s="218">
        <v>4</v>
      </c>
      <c r="BZ35" s="218">
        <v>4</v>
      </c>
      <c r="CA35" s="218">
        <v>4</v>
      </c>
      <c r="CB35" s="218">
        <v>4</v>
      </c>
      <c r="CC35" s="218">
        <v>4</v>
      </c>
      <c r="CD35" s="218">
        <v>2</v>
      </c>
      <c r="CE35" s="218">
        <v>2</v>
      </c>
      <c r="CF35" s="218">
        <v>2</v>
      </c>
      <c r="CG35" s="218">
        <v>8</v>
      </c>
      <c r="CH35" s="334">
        <v>2</v>
      </c>
      <c r="CI35" s="218">
        <v>9</v>
      </c>
      <c r="CJ35" s="218">
        <v>9</v>
      </c>
      <c r="CK35" s="218">
        <v>9</v>
      </c>
      <c r="CL35" s="23" t="s">
        <v>160</v>
      </c>
      <c r="CM35" s="23" t="s">
        <v>160</v>
      </c>
      <c r="CN35" s="23" t="s">
        <v>160</v>
      </c>
      <c r="CO35" s="218">
        <v>4</v>
      </c>
      <c r="CP35" s="218">
        <v>4</v>
      </c>
      <c r="CQ35" s="218">
        <v>4</v>
      </c>
      <c r="CR35" s="218">
        <v>4</v>
      </c>
      <c r="CS35" s="218">
        <v>4</v>
      </c>
      <c r="CT35" s="218">
        <v>4</v>
      </c>
      <c r="CU35" s="218">
        <v>4</v>
      </c>
      <c r="CV35" s="218">
        <v>4</v>
      </c>
      <c r="CW35" s="218">
        <v>4</v>
      </c>
      <c r="CX35" s="218">
        <v>4</v>
      </c>
      <c r="CY35" s="218">
        <v>4</v>
      </c>
      <c r="CZ35" s="218">
        <v>2</v>
      </c>
      <c r="DA35" s="218">
        <v>2</v>
      </c>
      <c r="DB35" s="218">
        <v>2</v>
      </c>
      <c r="DC35" s="218">
        <v>8</v>
      </c>
      <c r="DD35" s="334">
        <v>2</v>
      </c>
      <c r="DE35" s="218">
        <v>9</v>
      </c>
      <c r="DF35" s="218">
        <v>9</v>
      </c>
      <c r="DG35" s="218">
        <v>9</v>
      </c>
      <c r="DH35" s="23" t="s">
        <v>160</v>
      </c>
      <c r="DI35" s="23" t="s">
        <v>160</v>
      </c>
      <c r="DJ35" s="23" t="s">
        <v>160</v>
      </c>
      <c r="DK35" s="218">
        <v>4</v>
      </c>
      <c r="DL35" s="218">
        <v>4</v>
      </c>
      <c r="DM35" s="218">
        <v>4</v>
      </c>
      <c r="DN35" s="218">
        <v>4</v>
      </c>
      <c r="DO35" s="218">
        <v>4</v>
      </c>
      <c r="DP35" s="218">
        <v>4</v>
      </c>
      <c r="DQ35" s="218">
        <v>4</v>
      </c>
      <c r="DR35" s="218">
        <v>4</v>
      </c>
      <c r="DS35" s="218">
        <v>4</v>
      </c>
      <c r="DT35" s="218">
        <v>4</v>
      </c>
      <c r="DU35" s="218">
        <v>4</v>
      </c>
      <c r="DV35" s="218">
        <v>2</v>
      </c>
      <c r="DW35" s="218">
        <v>2</v>
      </c>
      <c r="DX35" s="218">
        <v>2</v>
      </c>
      <c r="DY35" s="218">
        <v>8</v>
      </c>
      <c r="DZ35" s="334">
        <v>2</v>
      </c>
      <c r="EA35" s="218">
        <v>9</v>
      </c>
      <c r="EB35" s="218">
        <v>9</v>
      </c>
      <c r="EC35" s="218">
        <v>9</v>
      </c>
      <c r="ED35" s="23" t="s">
        <v>160</v>
      </c>
      <c r="EE35" s="23" t="s">
        <v>160</v>
      </c>
      <c r="EF35" s="23" t="s">
        <v>160</v>
      </c>
      <c r="EG35" s="218">
        <v>4</v>
      </c>
      <c r="EH35" s="218">
        <v>4</v>
      </c>
      <c r="EI35" s="218">
        <v>4</v>
      </c>
      <c r="EJ35" s="218">
        <v>4</v>
      </c>
      <c r="EK35" s="218">
        <v>4</v>
      </c>
      <c r="EL35" s="218">
        <v>4</v>
      </c>
      <c r="EM35" s="218">
        <v>4</v>
      </c>
      <c r="EN35" s="218">
        <v>4</v>
      </c>
      <c r="EO35" s="218">
        <v>4</v>
      </c>
      <c r="EP35" s="218">
        <v>4</v>
      </c>
      <c r="EQ35" s="218">
        <v>4</v>
      </c>
      <c r="ER35" s="218">
        <v>2</v>
      </c>
      <c r="ES35" s="218">
        <v>2</v>
      </c>
      <c r="ET35" s="218">
        <v>2</v>
      </c>
      <c r="EU35" s="218">
        <v>8</v>
      </c>
      <c r="EV35" s="334">
        <v>2</v>
      </c>
      <c r="EW35" s="218">
        <v>9</v>
      </c>
      <c r="EX35" s="218">
        <v>9</v>
      </c>
      <c r="EY35" s="218">
        <v>9</v>
      </c>
      <c r="EZ35" s="23" t="s">
        <v>160</v>
      </c>
      <c r="FA35" s="23" t="s">
        <v>160</v>
      </c>
      <c r="FB35" s="23" t="s">
        <v>160</v>
      </c>
      <c r="FC35" s="218">
        <v>4</v>
      </c>
      <c r="FD35" s="218">
        <v>4</v>
      </c>
      <c r="FE35" s="218">
        <v>4</v>
      </c>
      <c r="FF35" s="218">
        <v>4</v>
      </c>
      <c r="FG35" s="218">
        <v>4</v>
      </c>
      <c r="FH35" s="218">
        <v>4</v>
      </c>
      <c r="FI35" s="218">
        <v>4</v>
      </c>
      <c r="FJ35" s="218">
        <v>4</v>
      </c>
      <c r="FK35" s="218">
        <v>4</v>
      </c>
      <c r="FL35" s="218">
        <v>4</v>
      </c>
      <c r="FM35" s="218">
        <v>4</v>
      </c>
      <c r="FN35" s="218">
        <v>2</v>
      </c>
      <c r="FO35" s="218">
        <v>2</v>
      </c>
      <c r="FP35" s="218">
        <v>2</v>
      </c>
      <c r="FQ35" s="218">
        <v>8</v>
      </c>
      <c r="FR35" s="334">
        <v>2</v>
      </c>
      <c r="FS35" s="218">
        <v>9</v>
      </c>
      <c r="FT35" s="218">
        <v>9</v>
      </c>
      <c r="FU35" s="218">
        <v>9</v>
      </c>
      <c r="FV35" s="23" t="s">
        <v>160</v>
      </c>
      <c r="FW35" s="23" t="s">
        <v>160</v>
      </c>
      <c r="FX35" s="23" t="s">
        <v>160</v>
      </c>
      <c r="FY35" s="218">
        <v>4</v>
      </c>
      <c r="FZ35" s="218">
        <v>4</v>
      </c>
      <c r="GA35" s="218">
        <v>4</v>
      </c>
      <c r="GB35" s="218">
        <v>4</v>
      </c>
      <c r="GC35" s="218">
        <v>4</v>
      </c>
      <c r="GD35" s="218">
        <v>4</v>
      </c>
      <c r="GE35" s="218">
        <v>4</v>
      </c>
      <c r="GF35" s="218">
        <v>4</v>
      </c>
      <c r="GG35" s="218">
        <v>4</v>
      </c>
      <c r="GH35" s="218">
        <v>4</v>
      </c>
      <c r="GI35" s="218">
        <v>4</v>
      </c>
      <c r="GJ35" s="218">
        <v>2</v>
      </c>
      <c r="GK35" s="218">
        <v>2</v>
      </c>
      <c r="GL35" s="218">
        <v>2</v>
      </c>
      <c r="GM35" s="218">
        <v>8</v>
      </c>
      <c r="GN35" s="334">
        <v>2</v>
      </c>
      <c r="GO35" s="218">
        <v>9</v>
      </c>
      <c r="GP35" s="218">
        <v>9</v>
      </c>
      <c r="GQ35" s="218">
        <v>9</v>
      </c>
      <c r="GR35" s="23" t="s">
        <v>160</v>
      </c>
      <c r="GS35" s="23" t="s">
        <v>160</v>
      </c>
      <c r="GT35" s="23" t="s">
        <v>160</v>
      </c>
      <c r="GU35" s="218">
        <v>4</v>
      </c>
      <c r="GV35" s="218">
        <v>4</v>
      </c>
      <c r="GW35" s="218">
        <v>4</v>
      </c>
      <c r="GX35" s="218">
        <v>4</v>
      </c>
      <c r="GY35" s="218">
        <v>4</v>
      </c>
      <c r="GZ35" s="218">
        <v>4</v>
      </c>
      <c r="HA35" s="218">
        <v>4</v>
      </c>
      <c r="HB35" s="218">
        <v>4</v>
      </c>
      <c r="HC35" s="218">
        <v>4</v>
      </c>
      <c r="HD35" s="218">
        <v>4</v>
      </c>
      <c r="HE35" s="218">
        <v>4</v>
      </c>
      <c r="HF35" s="218">
        <v>2</v>
      </c>
      <c r="HG35" s="218">
        <v>2</v>
      </c>
      <c r="HH35" s="218">
        <v>2</v>
      </c>
      <c r="HI35" s="218">
        <v>8</v>
      </c>
      <c r="HJ35" s="334">
        <v>2</v>
      </c>
      <c r="HK35" s="218">
        <v>9</v>
      </c>
      <c r="HL35" s="218">
        <v>9</v>
      </c>
      <c r="HM35" s="218">
        <v>9</v>
      </c>
      <c r="HN35" s="23" t="s">
        <v>160</v>
      </c>
      <c r="HO35" s="23" t="s">
        <v>160</v>
      </c>
      <c r="HP35" s="23" t="s">
        <v>160</v>
      </c>
      <c r="HQ35" s="218">
        <v>4</v>
      </c>
      <c r="HR35" s="218">
        <v>4</v>
      </c>
      <c r="HS35" s="218">
        <v>4</v>
      </c>
      <c r="HT35" s="218">
        <v>4</v>
      </c>
      <c r="HU35" s="218">
        <v>4</v>
      </c>
      <c r="HV35" s="218">
        <v>4</v>
      </c>
      <c r="HW35" s="218">
        <v>4</v>
      </c>
      <c r="HX35" s="218">
        <v>4</v>
      </c>
      <c r="HY35" s="218">
        <v>4</v>
      </c>
      <c r="HZ35" s="218">
        <v>4</v>
      </c>
      <c r="IA35" s="218">
        <v>4</v>
      </c>
      <c r="IB35" s="218">
        <v>2</v>
      </c>
      <c r="IC35" s="218">
        <v>2</v>
      </c>
      <c r="ID35" s="218">
        <v>2</v>
      </c>
      <c r="IE35" s="218">
        <v>8</v>
      </c>
      <c r="IF35" s="334">
        <v>2</v>
      </c>
      <c r="IG35" s="218">
        <v>9</v>
      </c>
      <c r="IH35" s="218">
        <v>9</v>
      </c>
      <c r="II35" s="218">
        <v>9</v>
      </c>
      <c r="IJ35" s="23" t="s">
        <v>160</v>
      </c>
      <c r="IK35" s="23" t="s">
        <v>160</v>
      </c>
      <c r="IL35" s="23" t="s">
        <v>160</v>
      </c>
      <c r="IM35" s="218">
        <v>4</v>
      </c>
      <c r="IN35" s="218">
        <v>4</v>
      </c>
      <c r="IO35" s="218">
        <v>4</v>
      </c>
      <c r="IP35" s="218">
        <v>4</v>
      </c>
      <c r="IQ35" s="218">
        <v>4</v>
      </c>
      <c r="IR35" s="218">
        <v>4</v>
      </c>
      <c r="IS35" s="218">
        <v>4</v>
      </c>
      <c r="IT35" s="218">
        <v>4</v>
      </c>
      <c r="IU35" s="218">
        <v>4</v>
      </c>
      <c r="IV35" s="218">
        <v>4</v>
      </c>
      <c r="IW35" s="218">
        <v>4</v>
      </c>
      <c r="IX35" s="218">
        <v>2</v>
      </c>
      <c r="IY35" s="218">
        <v>2</v>
      </c>
      <c r="IZ35" s="218">
        <v>2</v>
      </c>
      <c r="JA35" s="218">
        <v>8</v>
      </c>
      <c r="JB35" s="334">
        <v>2</v>
      </c>
      <c r="JC35" s="218">
        <v>9</v>
      </c>
      <c r="JD35" s="218">
        <v>9</v>
      </c>
      <c r="JE35" s="218">
        <v>9</v>
      </c>
      <c r="JF35" s="23" t="s">
        <v>160</v>
      </c>
      <c r="JG35" s="23" t="s">
        <v>160</v>
      </c>
      <c r="JH35" s="23" t="s">
        <v>160</v>
      </c>
      <c r="JI35" s="218">
        <v>4</v>
      </c>
      <c r="JJ35" s="218">
        <v>4</v>
      </c>
      <c r="JK35" s="218">
        <v>4</v>
      </c>
      <c r="JL35" s="218">
        <v>4</v>
      </c>
      <c r="JM35" s="218">
        <v>4</v>
      </c>
      <c r="JN35" s="218">
        <v>4</v>
      </c>
      <c r="JO35" s="218">
        <v>4</v>
      </c>
      <c r="JP35" s="218">
        <v>4</v>
      </c>
      <c r="JQ35" s="218">
        <v>4</v>
      </c>
      <c r="JR35" s="218">
        <v>4</v>
      </c>
      <c r="JS35" s="218">
        <v>4</v>
      </c>
      <c r="JT35" s="218">
        <v>2</v>
      </c>
      <c r="JU35" s="218">
        <v>2</v>
      </c>
      <c r="JV35" s="218">
        <v>2</v>
      </c>
      <c r="JW35" s="218">
        <v>8</v>
      </c>
      <c r="JX35" s="334">
        <v>2</v>
      </c>
      <c r="JY35" s="218">
        <v>9</v>
      </c>
      <c r="JZ35" s="218">
        <v>9</v>
      </c>
      <c r="KA35" s="218">
        <v>9</v>
      </c>
      <c r="KB35" s="23" t="s">
        <v>160</v>
      </c>
      <c r="KC35" s="23" t="s">
        <v>160</v>
      </c>
      <c r="KD35" s="23" t="s">
        <v>160</v>
      </c>
      <c r="KE35" s="218">
        <v>4</v>
      </c>
      <c r="KF35" s="218">
        <v>4</v>
      </c>
      <c r="KG35" s="218">
        <v>4</v>
      </c>
      <c r="KH35" s="218">
        <v>4</v>
      </c>
      <c r="KI35" s="218">
        <v>4</v>
      </c>
      <c r="KJ35" s="218">
        <v>4</v>
      </c>
      <c r="KK35" s="218">
        <v>4</v>
      </c>
      <c r="KL35" s="218">
        <v>4</v>
      </c>
      <c r="KM35" s="218">
        <v>4</v>
      </c>
      <c r="KN35" s="218">
        <v>4</v>
      </c>
      <c r="KO35" s="218">
        <v>4</v>
      </c>
      <c r="KP35" s="218">
        <v>2</v>
      </c>
      <c r="KQ35" s="218">
        <v>2</v>
      </c>
      <c r="KR35" s="218">
        <v>2</v>
      </c>
      <c r="KS35" s="218">
        <v>8</v>
      </c>
      <c r="KT35" s="334">
        <v>2</v>
      </c>
      <c r="KU35" s="218">
        <v>9</v>
      </c>
      <c r="KV35" s="218">
        <v>9</v>
      </c>
      <c r="KW35" s="218">
        <v>9</v>
      </c>
      <c r="KX35" s="23" t="s">
        <v>160</v>
      </c>
      <c r="KY35" s="23" t="s">
        <v>160</v>
      </c>
      <c r="KZ35" s="23" t="s">
        <v>160</v>
      </c>
    </row>
    <row r="36" spans="2:312" s="23" customFormat="1">
      <c r="B36" s="342"/>
      <c r="C36" s="23" t="s">
        <v>98</v>
      </c>
      <c r="D36" s="23" t="s">
        <v>84</v>
      </c>
      <c r="E36" s="218">
        <v>4</v>
      </c>
      <c r="F36" s="218">
        <v>4</v>
      </c>
      <c r="G36" s="218">
        <v>4</v>
      </c>
      <c r="H36" s="218">
        <v>4</v>
      </c>
      <c r="I36" s="218">
        <v>4</v>
      </c>
      <c r="J36" s="218">
        <v>4</v>
      </c>
      <c r="K36" s="218">
        <v>4</v>
      </c>
      <c r="L36" s="218">
        <v>4</v>
      </c>
      <c r="M36" s="218">
        <v>4</v>
      </c>
      <c r="N36" s="218">
        <v>3</v>
      </c>
      <c r="O36" s="218">
        <v>3</v>
      </c>
      <c r="P36" s="218">
        <v>3</v>
      </c>
      <c r="Q36" s="23" t="s">
        <v>160</v>
      </c>
      <c r="R36" s="23" t="s">
        <v>160</v>
      </c>
      <c r="S36" s="23" t="s">
        <v>160</v>
      </c>
      <c r="T36" s="23" t="s">
        <v>160</v>
      </c>
      <c r="U36" s="218">
        <v>8</v>
      </c>
      <c r="V36" s="218">
        <v>4</v>
      </c>
      <c r="W36" s="218">
        <v>4</v>
      </c>
      <c r="X36" s="23" t="s">
        <v>160</v>
      </c>
      <c r="Y36" s="23" t="s">
        <v>160</v>
      </c>
      <c r="Z36" s="23" t="s">
        <v>160</v>
      </c>
      <c r="AA36" s="218">
        <v>4</v>
      </c>
      <c r="AB36" s="218">
        <v>4</v>
      </c>
      <c r="AC36" s="218">
        <v>4</v>
      </c>
      <c r="AD36" s="218">
        <v>4</v>
      </c>
      <c r="AE36" s="218">
        <v>4</v>
      </c>
      <c r="AF36" s="218">
        <v>4</v>
      </c>
      <c r="AG36" s="218">
        <v>4</v>
      </c>
      <c r="AH36" s="218">
        <v>4</v>
      </c>
      <c r="AI36" s="218">
        <v>4</v>
      </c>
      <c r="AJ36" s="218">
        <v>3</v>
      </c>
      <c r="AK36" s="218">
        <v>3</v>
      </c>
      <c r="AL36" s="218">
        <v>3</v>
      </c>
      <c r="AM36" s="23" t="s">
        <v>160</v>
      </c>
      <c r="AN36" s="23" t="s">
        <v>160</v>
      </c>
      <c r="AO36" s="23" t="s">
        <v>160</v>
      </c>
      <c r="AP36" s="23" t="s">
        <v>160</v>
      </c>
      <c r="AQ36" s="218">
        <v>8</v>
      </c>
      <c r="AR36" s="218">
        <v>4</v>
      </c>
      <c r="AS36" s="218">
        <v>4</v>
      </c>
      <c r="AT36" s="23" t="s">
        <v>160</v>
      </c>
      <c r="AU36" s="23" t="s">
        <v>160</v>
      </c>
      <c r="AV36" s="23" t="s">
        <v>160</v>
      </c>
      <c r="AW36" s="218">
        <v>4</v>
      </c>
      <c r="AX36" s="218">
        <v>4</v>
      </c>
      <c r="AY36" s="218">
        <v>4</v>
      </c>
      <c r="AZ36" s="218">
        <v>4</v>
      </c>
      <c r="BA36" s="218">
        <v>4</v>
      </c>
      <c r="BB36" s="218">
        <v>4</v>
      </c>
      <c r="BC36" s="218">
        <v>4</v>
      </c>
      <c r="BD36" s="218">
        <v>4</v>
      </c>
      <c r="BE36" s="218">
        <v>4</v>
      </c>
      <c r="BF36" s="218">
        <v>3</v>
      </c>
      <c r="BG36" s="218">
        <v>3</v>
      </c>
      <c r="BH36" s="218">
        <v>3</v>
      </c>
      <c r="BI36" s="23" t="s">
        <v>160</v>
      </c>
      <c r="BJ36" s="23" t="s">
        <v>160</v>
      </c>
      <c r="BK36" s="23" t="s">
        <v>160</v>
      </c>
      <c r="BL36" s="23" t="s">
        <v>160</v>
      </c>
      <c r="BM36" s="218">
        <v>8</v>
      </c>
      <c r="BN36" s="218">
        <v>4</v>
      </c>
      <c r="BO36" s="218">
        <v>4</v>
      </c>
      <c r="BP36" s="23" t="s">
        <v>160</v>
      </c>
      <c r="BQ36" s="23" t="s">
        <v>160</v>
      </c>
      <c r="BR36" s="23" t="s">
        <v>160</v>
      </c>
      <c r="BS36" s="218">
        <v>4</v>
      </c>
      <c r="BT36" s="218">
        <v>4</v>
      </c>
      <c r="BU36" s="218">
        <v>4</v>
      </c>
      <c r="BV36" s="218">
        <v>4</v>
      </c>
      <c r="BW36" s="218">
        <v>4</v>
      </c>
      <c r="BX36" s="218">
        <v>4</v>
      </c>
      <c r="BY36" s="218">
        <v>4</v>
      </c>
      <c r="BZ36" s="218">
        <v>4</v>
      </c>
      <c r="CA36" s="218">
        <v>4</v>
      </c>
      <c r="CB36" s="218">
        <v>3</v>
      </c>
      <c r="CC36" s="218">
        <v>3</v>
      </c>
      <c r="CD36" s="218">
        <v>3</v>
      </c>
      <c r="CE36" s="23" t="s">
        <v>160</v>
      </c>
      <c r="CF36" s="23" t="s">
        <v>160</v>
      </c>
      <c r="CG36" s="23" t="s">
        <v>160</v>
      </c>
      <c r="CH36" s="23" t="s">
        <v>160</v>
      </c>
      <c r="CI36" s="218">
        <v>8</v>
      </c>
      <c r="CJ36" s="218">
        <v>4</v>
      </c>
      <c r="CK36" s="218">
        <v>4</v>
      </c>
      <c r="CL36" s="23" t="s">
        <v>160</v>
      </c>
      <c r="CM36" s="23" t="s">
        <v>160</v>
      </c>
      <c r="CN36" s="23" t="s">
        <v>160</v>
      </c>
      <c r="CO36" s="218">
        <v>4</v>
      </c>
      <c r="CP36" s="218">
        <v>4</v>
      </c>
      <c r="CQ36" s="218">
        <v>4</v>
      </c>
      <c r="CR36" s="218">
        <v>4</v>
      </c>
      <c r="CS36" s="218">
        <v>4</v>
      </c>
      <c r="CT36" s="218">
        <v>4</v>
      </c>
      <c r="CU36" s="218">
        <v>4</v>
      </c>
      <c r="CV36" s="218">
        <v>4</v>
      </c>
      <c r="CW36" s="218">
        <v>4</v>
      </c>
      <c r="CX36" s="218">
        <v>3</v>
      </c>
      <c r="CY36" s="218">
        <v>3</v>
      </c>
      <c r="CZ36" s="218">
        <v>3</v>
      </c>
      <c r="DA36" s="23" t="s">
        <v>160</v>
      </c>
      <c r="DB36" s="23" t="s">
        <v>160</v>
      </c>
      <c r="DC36" s="23" t="s">
        <v>160</v>
      </c>
      <c r="DD36" s="23" t="s">
        <v>160</v>
      </c>
      <c r="DE36" s="218">
        <v>8</v>
      </c>
      <c r="DF36" s="218">
        <v>4</v>
      </c>
      <c r="DG36" s="218">
        <v>4</v>
      </c>
      <c r="DH36" s="23" t="s">
        <v>160</v>
      </c>
      <c r="DI36" s="23" t="s">
        <v>160</v>
      </c>
      <c r="DJ36" s="23" t="s">
        <v>160</v>
      </c>
      <c r="DK36" s="218">
        <v>4</v>
      </c>
      <c r="DL36" s="218">
        <v>4</v>
      </c>
      <c r="DM36" s="218">
        <v>4</v>
      </c>
      <c r="DN36" s="218">
        <v>4</v>
      </c>
      <c r="DO36" s="218">
        <v>4</v>
      </c>
      <c r="DP36" s="218">
        <v>4</v>
      </c>
      <c r="DQ36" s="218">
        <v>4</v>
      </c>
      <c r="DR36" s="218">
        <v>4</v>
      </c>
      <c r="DS36" s="218">
        <v>4</v>
      </c>
      <c r="DT36" s="218">
        <v>3</v>
      </c>
      <c r="DU36" s="218">
        <v>3</v>
      </c>
      <c r="DV36" s="218">
        <v>3</v>
      </c>
      <c r="DW36" s="23" t="s">
        <v>160</v>
      </c>
      <c r="DX36" s="23" t="s">
        <v>160</v>
      </c>
      <c r="DY36" s="23" t="s">
        <v>160</v>
      </c>
      <c r="DZ36" s="23" t="s">
        <v>160</v>
      </c>
      <c r="EA36" s="218">
        <v>8</v>
      </c>
      <c r="EB36" s="218">
        <v>4</v>
      </c>
      <c r="EC36" s="218">
        <v>4</v>
      </c>
      <c r="ED36" s="23" t="s">
        <v>160</v>
      </c>
      <c r="EE36" s="23" t="s">
        <v>160</v>
      </c>
      <c r="EF36" s="23" t="s">
        <v>160</v>
      </c>
      <c r="EG36" s="218">
        <v>4</v>
      </c>
      <c r="EH36" s="218">
        <v>4</v>
      </c>
      <c r="EI36" s="218">
        <v>4</v>
      </c>
      <c r="EJ36" s="218">
        <v>4</v>
      </c>
      <c r="EK36" s="218">
        <v>4</v>
      </c>
      <c r="EL36" s="218">
        <v>4</v>
      </c>
      <c r="EM36" s="218">
        <v>4</v>
      </c>
      <c r="EN36" s="218">
        <v>4</v>
      </c>
      <c r="EO36" s="218">
        <v>4</v>
      </c>
      <c r="EP36" s="218">
        <v>3</v>
      </c>
      <c r="EQ36" s="218">
        <v>3</v>
      </c>
      <c r="ER36" s="218">
        <v>3</v>
      </c>
      <c r="ES36" s="23" t="s">
        <v>160</v>
      </c>
      <c r="ET36" s="23" t="s">
        <v>160</v>
      </c>
      <c r="EU36" s="23" t="s">
        <v>160</v>
      </c>
      <c r="EV36" s="23" t="s">
        <v>160</v>
      </c>
      <c r="EW36" s="218">
        <v>8</v>
      </c>
      <c r="EX36" s="218">
        <v>4</v>
      </c>
      <c r="EY36" s="218">
        <v>4</v>
      </c>
      <c r="EZ36" s="23" t="s">
        <v>160</v>
      </c>
      <c r="FA36" s="23" t="s">
        <v>160</v>
      </c>
      <c r="FB36" s="23" t="s">
        <v>160</v>
      </c>
      <c r="FC36" s="218">
        <v>4</v>
      </c>
      <c r="FD36" s="218">
        <v>4</v>
      </c>
      <c r="FE36" s="218">
        <v>4</v>
      </c>
      <c r="FF36" s="218">
        <v>4</v>
      </c>
      <c r="FG36" s="218">
        <v>4</v>
      </c>
      <c r="FH36" s="218">
        <v>4</v>
      </c>
      <c r="FI36" s="218">
        <v>4</v>
      </c>
      <c r="FJ36" s="218">
        <v>4</v>
      </c>
      <c r="FK36" s="218">
        <v>4</v>
      </c>
      <c r="FL36" s="218">
        <v>3</v>
      </c>
      <c r="FM36" s="218">
        <v>3</v>
      </c>
      <c r="FN36" s="218">
        <v>3</v>
      </c>
      <c r="FO36" s="23" t="s">
        <v>160</v>
      </c>
      <c r="FP36" s="23" t="s">
        <v>160</v>
      </c>
      <c r="FQ36" s="23" t="s">
        <v>160</v>
      </c>
      <c r="FR36" s="23" t="s">
        <v>160</v>
      </c>
      <c r="FS36" s="218">
        <v>8</v>
      </c>
      <c r="FT36" s="218">
        <v>4</v>
      </c>
      <c r="FU36" s="218">
        <v>4</v>
      </c>
      <c r="FV36" s="23" t="s">
        <v>160</v>
      </c>
      <c r="FW36" s="23" t="s">
        <v>160</v>
      </c>
      <c r="FX36" s="23" t="s">
        <v>160</v>
      </c>
      <c r="FY36" s="218">
        <v>4</v>
      </c>
      <c r="FZ36" s="218">
        <v>4</v>
      </c>
      <c r="GA36" s="218">
        <v>4</v>
      </c>
      <c r="GB36" s="218">
        <v>4</v>
      </c>
      <c r="GC36" s="218">
        <v>4</v>
      </c>
      <c r="GD36" s="218">
        <v>4</v>
      </c>
      <c r="GE36" s="218">
        <v>4</v>
      </c>
      <c r="GF36" s="218">
        <v>4</v>
      </c>
      <c r="GG36" s="218">
        <v>4</v>
      </c>
      <c r="GH36" s="218">
        <v>3</v>
      </c>
      <c r="GI36" s="218">
        <v>3</v>
      </c>
      <c r="GJ36" s="218">
        <v>3</v>
      </c>
      <c r="GK36" s="23" t="s">
        <v>160</v>
      </c>
      <c r="GL36" s="23" t="s">
        <v>160</v>
      </c>
      <c r="GM36" s="23" t="s">
        <v>160</v>
      </c>
      <c r="GN36" s="23" t="s">
        <v>160</v>
      </c>
      <c r="GO36" s="218">
        <v>8</v>
      </c>
      <c r="GP36" s="218">
        <v>4</v>
      </c>
      <c r="GQ36" s="218">
        <v>4</v>
      </c>
      <c r="GR36" s="23" t="s">
        <v>160</v>
      </c>
      <c r="GS36" s="23" t="s">
        <v>160</v>
      </c>
      <c r="GT36" s="23" t="s">
        <v>160</v>
      </c>
      <c r="GU36" s="218">
        <v>4</v>
      </c>
      <c r="GV36" s="218">
        <v>4</v>
      </c>
      <c r="GW36" s="218">
        <v>4</v>
      </c>
      <c r="GX36" s="218">
        <v>4</v>
      </c>
      <c r="GY36" s="218">
        <v>4</v>
      </c>
      <c r="GZ36" s="218">
        <v>4</v>
      </c>
      <c r="HA36" s="218">
        <v>4</v>
      </c>
      <c r="HB36" s="218">
        <v>4</v>
      </c>
      <c r="HC36" s="218">
        <v>4</v>
      </c>
      <c r="HD36" s="218">
        <v>3</v>
      </c>
      <c r="HE36" s="218">
        <v>3</v>
      </c>
      <c r="HF36" s="218">
        <v>3</v>
      </c>
      <c r="HG36" s="23" t="s">
        <v>160</v>
      </c>
      <c r="HH36" s="23" t="s">
        <v>160</v>
      </c>
      <c r="HI36" s="23" t="s">
        <v>160</v>
      </c>
      <c r="HJ36" s="23" t="s">
        <v>160</v>
      </c>
      <c r="HK36" s="218">
        <v>8</v>
      </c>
      <c r="HL36" s="218">
        <v>4</v>
      </c>
      <c r="HM36" s="218">
        <v>4</v>
      </c>
      <c r="HN36" s="23" t="s">
        <v>160</v>
      </c>
      <c r="HO36" s="23" t="s">
        <v>160</v>
      </c>
      <c r="HP36" s="23" t="s">
        <v>160</v>
      </c>
      <c r="HQ36" s="218">
        <v>4</v>
      </c>
      <c r="HR36" s="218">
        <v>4</v>
      </c>
      <c r="HS36" s="218">
        <v>4</v>
      </c>
      <c r="HT36" s="218">
        <v>4</v>
      </c>
      <c r="HU36" s="218">
        <v>4</v>
      </c>
      <c r="HV36" s="218">
        <v>4</v>
      </c>
      <c r="HW36" s="218">
        <v>4</v>
      </c>
      <c r="HX36" s="218">
        <v>4</v>
      </c>
      <c r="HY36" s="218">
        <v>4</v>
      </c>
      <c r="HZ36" s="218">
        <v>3</v>
      </c>
      <c r="IA36" s="218">
        <v>3</v>
      </c>
      <c r="IB36" s="218">
        <v>3</v>
      </c>
      <c r="IC36" s="23" t="s">
        <v>160</v>
      </c>
      <c r="ID36" s="23" t="s">
        <v>160</v>
      </c>
      <c r="IE36" s="23" t="s">
        <v>160</v>
      </c>
      <c r="IF36" s="23" t="s">
        <v>160</v>
      </c>
      <c r="IG36" s="218">
        <v>8</v>
      </c>
      <c r="IH36" s="218">
        <v>4</v>
      </c>
      <c r="II36" s="218">
        <v>4</v>
      </c>
      <c r="IJ36" s="23" t="s">
        <v>160</v>
      </c>
      <c r="IK36" s="23" t="s">
        <v>160</v>
      </c>
      <c r="IL36" s="23" t="s">
        <v>160</v>
      </c>
      <c r="IM36" s="218">
        <v>4</v>
      </c>
      <c r="IN36" s="218">
        <v>4</v>
      </c>
      <c r="IO36" s="218">
        <v>4</v>
      </c>
      <c r="IP36" s="218">
        <v>4</v>
      </c>
      <c r="IQ36" s="218">
        <v>4</v>
      </c>
      <c r="IR36" s="218">
        <v>4</v>
      </c>
      <c r="IS36" s="218">
        <v>4</v>
      </c>
      <c r="IT36" s="218">
        <v>4</v>
      </c>
      <c r="IU36" s="218">
        <v>4</v>
      </c>
      <c r="IV36" s="218">
        <v>3</v>
      </c>
      <c r="IW36" s="218">
        <v>3</v>
      </c>
      <c r="IX36" s="218">
        <v>3</v>
      </c>
      <c r="IY36" s="23" t="s">
        <v>160</v>
      </c>
      <c r="IZ36" s="23" t="s">
        <v>160</v>
      </c>
      <c r="JA36" s="23" t="s">
        <v>160</v>
      </c>
      <c r="JB36" s="23" t="s">
        <v>160</v>
      </c>
      <c r="JC36" s="218">
        <v>8</v>
      </c>
      <c r="JD36" s="218">
        <v>4</v>
      </c>
      <c r="JE36" s="218">
        <v>4</v>
      </c>
      <c r="JF36" s="23" t="s">
        <v>160</v>
      </c>
      <c r="JG36" s="23" t="s">
        <v>160</v>
      </c>
      <c r="JH36" s="23" t="s">
        <v>160</v>
      </c>
      <c r="JI36" s="218">
        <v>4</v>
      </c>
      <c r="JJ36" s="218">
        <v>4</v>
      </c>
      <c r="JK36" s="218">
        <v>4</v>
      </c>
      <c r="JL36" s="218">
        <v>4</v>
      </c>
      <c r="JM36" s="218">
        <v>4</v>
      </c>
      <c r="JN36" s="218">
        <v>4</v>
      </c>
      <c r="JO36" s="218">
        <v>4</v>
      </c>
      <c r="JP36" s="218">
        <v>4</v>
      </c>
      <c r="JQ36" s="218">
        <v>4</v>
      </c>
      <c r="JR36" s="218">
        <v>3</v>
      </c>
      <c r="JS36" s="218">
        <v>3</v>
      </c>
      <c r="JT36" s="218">
        <v>3</v>
      </c>
      <c r="JU36" s="23" t="s">
        <v>160</v>
      </c>
      <c r="JV36" s="23" t="s">
        <v>160</v>
      </c>
      <c r="JW36" s="23" t="s">
        <v>160</v>
      </c>
      <c r="JX36" s="23" t="s">
        <v>160</v>
      </c>
      <c r="JY36" s="218">
        <v>8</v>
      </c>
      <c r="JZ36" s="218">
        <v>4</v>
      </c>
      <c r="KA36" s="218">
        <v>4</v>
      </c>
      <c r="KB36" s="23" t="s">
        <v>160</v>
      </c>
      <c r="KC36" s="23" t="s">
        <v>160</v>
      </c>
      <c r="KD36" s="23" t="s">
        <v>160</v>
      </c>
      <c r="KE36" s="218">
        <v>4</v>
      </c>
      <c r="KF36" s="218">
        <v>4</v>
      </c>
      <c r="KG36" s="218">
        <v>4</v>
      </c>
      <c r="KH36" s="218">
        <v>4</v>
      </c>
      <c r="KI36" s="218">
        <v>4</v>
      </c>
      <c r="KJ36" s="218">
        <v>4</v>
      </c>
      <c r="KK36" s="218">
        <v>4</v>
      </c>
      <c r="KL36" s="218">
        <v>4</v>
      </c>
      <c r="KM36" s="218">
        <v>4</v>
      </c>
      <c r="KN36" s="218">
        <v>3</v>
      </c>
      <c r="KO36" s="218">
        <v>3</v>
      </c>
      <c r="KP36" s="218">
        <v>3</v>
      </c>
      <c r="KQ36" s="23" t="s">
        <v>160</v>
      </c>
      <c r="KR36" s="23" t="s">
        <v>160</v>
      </c>
      <c r="KS36" s="23" t="s">
        <v>160</v>
      </c>
      <c r="KT36" s="23" t="s">
        <v>160</v>
      </c>
      <c r="KU36" s="218">
        <v>8</v>
      </c>
      <c r="KV36" s="218">
        <v>4</v>
      </c>
      <c r="KW36" s="218">
        <v>4</v>
      </c>
      <c r="KX36" s="23" t="s">
        <v>160</v>
      </c>
      <c r="KY36" s="23" t="s">
        <v>160</v>
      </c>
      <c r="KZ36" s="23" t="s">
        <v>160</v>
      </c>
    </row>
    <row r="37" spans="2:312" s="23" customFormat="1">
      <c r="B37" s="342"/>
      <c r="C37" s="23" t="s">
        <v>99</v>
      </c>
      <c r="D37" s="23" t="s">
        <v>84</v>
      </c>
      <c r="E37" s="218">
        <v>7</v>
      </c>
      <c r="F37" s="218">
        <v>7</v>
      </c>
      <c r="G37" s="218">
        <v>7</v>
      </c>
      <c r="H37" s="218">
        <v>7</v>
      </c>
      <c r="I37" s="218">
        <v>7</v>
      </c>
      <c r="J37" s="218">
        <v>7</v>
      </c>
      <c r="K37" s="218">
        <v>7</v>
      </c>
      <c r="L37" s="218">
        <v>7</v>
      </c>
      <c r="M37" s="218">
        <v>7</v>
      </c>
      <c r="N37" s="218">
        <v>7</v>
      </c>
      <c r="O37" s="218">
        <v>7</v>
      </c>
      <c r="P37" s="218">
        <v>6</v>
      </c>
      <c r="Q37" s="218">
        <v>6</v>
      </c>
      <c r="R37" s="218">
        <v>6</v>
      </c>
      <c r="S37" s="218">
        <v>8</v>
      </c>
      <c r="T37" s="218">
        <v>8</v>
      </c>
      <c r="U37" s="218">
        <v>5</v>
      </c>
      <c r="V37" s="218">
        <v>7</v>
      </c>
      <c r="W37" s="218">
        <v>7</v>
      </c>
      <c r="X37" s="23" t="s">
        <v>160</v>
      </c>
      <c r="Y37" s="23" t="s">
        <v>160</v>
      </c>
      <c r="Z37" s="23" t="s">
        <v>160</v>
      </c>
      <c r="AA37" s="218">
        <v>7</v>
      </c>
      <c r="AB37" s="218">
        <v>7</v>
      </c>
      <c r="AC37" s="218">
        <v>7</v>
      </c>
      <c r="AD37" s="218">
        <v>7</v>
      </c>
      <c r="AE37" s="218">
        <v>7</v>
      </c>
      <c r="AF37" s="218">
        <v>7</v>
      </c>
      <c r="AG37" s="218">
        <v>7</v>
      </c>
      <c r="AH37" s="218">
        <v>7</v>
      </c>
      <c r="AI37" s="218">
        <v>7</v>
      </c>
      <c r="AJ37" s="218">
        <v>7</v>
      </c>
      <c r="AK37" s="218">
        <v>7</v>
      </c>
      <c r="AL37" s="218">
        <v>6</v>
      </c>
      <c r="AM37" s="218">
        <v>6</v>
      </c>
      <c r="AN37" s="218">
        <v>6</v>
      </c>
      <c r="AO37" s="218">
        <v>8</v>
      </c>
      <c r="AP37" s="218">
        <v>8</v>
      </c>
      <c r="AQ37" s="218">
        <v>5</v>
      </c>
      <c r="AR37" s="218">
        <v>7</v>
      </c>
      <c r="AS37" s="218">
        <v>7</v>
      </c>
      <c r="AT37" s="23" t="s">
        <v>160</v>
      </c>
      <c r="AU37" s="23" t="s">
        <v>160</v>
      </c>
      <c r="AV37" s="23" t="s">
        <v>160</v>
      </c>
      <c r="AW37" s="218">
        <v>7</v>
      </c>
      <c r="AX37" s="218">
        <v>7</v>
      </c>
      <c r="AY37" s="218">
        <v>7</v>
      </c>
      <c r="AZ37" s="218">
        <v>7</v>
      </c>
      <c r="BA37" s="218">
        <v>7</v>
      </c>
      <c r="BB37" s="218">
        <v>7</v>
      </c>
      <c r="BC37" s="218">
        <v>7</v>
      </c>
      <c r="BD37" s="218">
        <v>7</v>
      </c>
      <c r="BE37" s="218">
        <v>7</v>
      </c>
      <c r="BF37" s="218">
        <v>7</v>
      </c>
      <c r="BG37" s="218">
        <v>7</v>
      </c>
      <c r="BH37" s="218">
        <v>6</v>
      </c>
      <c r="BI37" s="218">
        <v>6</v>
      </c>
      <c r="BJ37" s="218">
        <v>6</v>
      </c>
      <c r="BK37" s="218">
        <v>8</v>
      </c>
      <c r="BL37" s="218">
        <v>8</v>
      </c>
      <c r="BM37" s="218">
        <v>5</v>
      </c>
      <c r="BN37" s="218">
        <v>7</v>
      </c>
      <c r="BO37" s="218">
        <v>7</v>
      </c>
      <c r="BP37" s="23" t="s">
        <v>160</v>
      </c>
      <c r="BQ37" s="23" t="s">
        <v>160</v>
      </c>
      <c r="BR37" s="23" t="s">
        <v>160</v>
      </c>
      <c r="BS37" s="218">
        <v>7</v>
      </c>
      <c r="BT37" s="218">
        <v>7</v>
      </c>
      <c r="BU37" s="218">
        <v>7</v>
      </c>
      <c r="BV37" s="218">
        <v>7</v>
      </c>
      <c r="BW37" s="218">
        <v>7</v>
      </c>
      <c r="BX37" s="218">
        <v>7</v>
      </c>
      <c r="BY37" s="218">
        <v>7</v>
      </c>
      <c r="BZ37" s="218">
        <v>7</v>
      </c>
      <c r="CA37" s="218">
        <v>7</v>
      </c>
      <c r="CB37" s="218">
        <v>7</v>
      </c>
      <c r="CC37" s="218">
        <v>7</v>
      </c>
      <c r="CD37" s="218">
        <v>6</v>
      </c>
      <c r="CE37" s="218">
        <v>6</v>
      </c>
      <c r="CF37" s="218">
        <v>6</v>
      </c>
      <c r="CG37" s="218">
        <v>8</v>
      </c>
      <c r="CH37" s="218">
        <v>8</v>
      </c>
      <c r="CI37" s="218">
        <v>5</v>
      </c>
      <c r="CJ37" s="218">
        <v>7</v>
      </c>
      <c r="CK37" s="218">
        <v>7</v>
      </c>
      <c r="CL37" s="23" t="s">
        <v>160</v>
      </c>
      <c r="CM37" s="23" t="s">
        <v>160</v>
      </c>
      <c r="CN37" s="23" t="s">
        <v>160</v>
      </c>
      <c r="CO37" s="218">
        <v>7</v>
      </c>
      <c r="CP37" s="218">
        <v>7</v>
      </c>
      <c r="CQ37" s="218">
        <v>7</v>
      </c>
      <c r="CR37" s="218">
        <v>7</v>
      </c>
      <c r="CS37" s="218">
        <v>7</v>
      </c>
      <c r="CT37" s="218">
        <v>7</v>
      </c>
      <c r="CU37" s="218">
        <v>7</v>
      </c>
      <c r="CV37" s="218">
        <v>7</v>
      </c>
      <c r="CW37" s="218">
        <v>7</v>
      </c>
      <c r="CX37" s="218">
        <v>7</v>
      </c>
      <c r="CY37" s="218">
        <v>7</v>
      </c>
      <c r="CZ37" s="218">
        <v>6</v>
      </c>
      <c r="DA37" s="218">
        <v>6</v>
      </c>
      <c r="DB37" s="218">
        <v>6</v>
      </c>
      <c r="DC37" s="218">
        <v>8</v>
      </c>
      <c r="DD37" s="218">
        <v>8</v>
      </c>
      <c r="DE37" s="218">
        <v>5</v>
      </c>
      <c r="DF37" s="218">
        <v>7</v>
      </c>
      <c r="DG37" s="218">
        <v>7</v>
      </c>
      <c r="DH37" s="23" t="s">
        <v>160</v>
      </c>
      <c r="DI37" s="23" t="s">
        <v>160</v>
      </c>
      <c r="DJ37" s="23" t="s">
        <v>160</v>
      </c>
      <c r="DK37" s="218">
        <v>7</v>
      </c>
      <c r="DL37" s="218">
        <v>7</v>
      </c>
      <c r="DM37" s="218">
        <v>7</v>
      </c>
      <c r="DN37" s="218">
        <v>7</v>
      </c>
      <c r="DO37" s="218">
        <v>7</v>
      </c>
      <c r="DP37" s="218">
        <v>7</v>
      </c>
      <c r="DQ37" s="218">
        <v>7</v>
      </c>
      <c r="DR37" s="218">
        <v>7</v>
      </c>
      <c r="DS37" s="218">
        <v>7</v>
      </c>
      <c r="DT37" s="218">
        <v>7</v>
      </c>
      <c r="DU37" s="218">
        <v>7</v>
      </c>
      <c r="DV37" s="218">
        <v>6</v>
      </c>
      <c r="DW37" s="218">
        <v>6</v>
      </c>
      <c r="DX37" s="218">
        <v>6</v>
      </c>
      <c r="DY37" s="218">
        <v>8</v>
      </c>
      <c r="DZ37" s="218">
        <v>8</v>
      </c>
      <c r="EA37" s="218">
        <v>5</v>
      </c>
      <c r="EB37" s="218">
        <v>7</v>
      </c>
      <c r="EC37" s="218">
        <v>7</v>
      </c>
      <c r="ED37" s="23" t="s">
        <v>160</v>
      </c>
      <c r="EE37" s="23" t="s">
        <v>160</v>
      </c>
      <c r="EF37" s="23" t="s">
        <v>160</v>
      </c>
      <c r="EG37" s="218">
        <v>7</v>
      </c>
      <c r="EH37" s="218">
        <v>7</v>
      </c>
      <c r="EI37" s="218">
        <v>7</v>
      </c>
      <c r="EJ37" s="218">
        <v>7</v>
      </c>
      <c r="EK37" s="218">
        <v>7</v>
      </c>
      <c r="EL37" s="218">
        <v>7</v>
      </c>
      <c r="EM37" s="218">
        <v>7</v>
      </c>
      <c r="EN37" s="218">
        <v>7</v>
      </c>
      <c r="EO37" s="218">
        <v>7</v>
      </c>
      <c r="EP37" s="218">
        <v>7</v>
      </c>
      <c r="EQ37" s="218">
        <v>7</v>
      </c>
      <c r="ER37" s="218">
        <v>6</v>
      </c>
      <c r="ES37" s="218">
        <v>6</v>
      </c>
      <c r="ET37" s="218">
        <v>6</v>
      </c>
      <c r="EU37" s="218">
        <v>8</v>
      </c>
      <c r="EV37" s="218">
        <v>8</v>
      </c>
      <c r="EW37" s="218">
        <v>5</v>
      </c>
      <c r="EX37" s="218">
        <v>7</v>
      </c>
      <c r="EY37" s="218">
        <v>7</v>
      </c>
      <c r="EZ37" s="23" t="s">
        <v>160</v>
      </c>
      <c r="FA37" s="23" t="s">
        <v>160</v>
      </c>
      <c r="FB37" s="23" t="s">
        <v>160</v>
      </c>
      <c r="FC37" s="218">
        <v>7</v>
      </c>
      <c r="FD37" s="218">
        <v>7</v>
      </c>
      <c r="FE37" s="218">
        <v>7</v>
      </c>
      <c r="FF37" s="218">
        <v>7</v>
      </c>
      <c r="FG37" s="218">
        <v>7</v>
      </c>
      <c r="FH37" s="218">
        <v>7</v>
      </c>
      <c r="FI37" s="218">
        <v>7</v>
      </c>
      <c r="FJ37" s="218">
        <v>7</v>
      </c>
      <c r="FK37" s="218">
        <v>7</v>
      </c>
      <c r="FL37" s="218">
        <v>7</v>
      </c>
      <c r="FM37" s="218">
        <v>7</v>
      </c>
      <c r="FN37" s="218">
        <v>6</v>
      </c>
      <c r="FO37" s="218">
        <v>6</v>
      </c>
      <c r="FP37" s="218">
        <v>6</v>
      </c>
      <c r="FQ37" s="218">
        <v>8</v>
      </c>
      <c r="FR37" s="218">
        <v>8</v>
      </c>
      <c r="FS37" s="218">
        <v>5</v>
      </c>
      <c r="FT37" s="218">
        <v>7</v>
      </c>
      <c r="FU37" s="218">
        <v>7</v>
      </c>
      <c r="FV37" s="23" t="s">
        <v>160</v>
      </c>
      <c r="FW37" s="23" t="s">
        <v>160</v>
      </c>
      <c r="FX37" s="23" t="s">
        <v>160</v>
      </c>
      <c r="FY37" s="218">
        <v>7</v>
      </c>
      <c r="FZ37" s="218">
        <v>7</v>
      </c>
      <c r="GA37" s="218">
        <v>7</v>
      </c>
      <c r="GB37" s="218">
        <v>7</v>
      </c>
      <c r="GC37" s="218">
        <v>7</v>
      </c>
      <c r="GD37" s="218">
        <v>7</v>
      </c>
      <c r="GE37" s="218">
        <v>7</v>
      </c>
      <c r="GF37" s="218">
        <v>7</v>
      </c>
      <c r="GG37" s="218">
        <v>7</v>
      </c>
      <c r="GH37" s="218">
        <v>7</v>
      </c>
      <c r="GI37" s="218">
        <v>7</v>
      </c>
      <c r="GJ37" s="218">
        <v>6</v>
      </c>
      <c r="GK37" s="218">
        <v>6</v>
      </c>
      <c r="GL37" s="218">
        <v>6</v>
      </c>
      <c r="GM37" s="218">
        <v>8</v>
      </c>
      <c r="GN37" s="218">
        <v>8</v>
      </c>
      <c r="GO37" s="218">
        <v>5</v>
      </c>
      <c r="GP37" s="218">
        <v>7</v>
      </c>
      <c r="GQ37" s="218">
        <v>7</v>
      </c>
      <c r="GR37" s="23" t="s">
        <v>160</v>
      </c>
      <c r="GS37" s="23" t="s">
        <v>160</v>
      </c>
      <c r="GT37" s="23" t="s">
        <v>160</v>
      </c>
      <c r="GU37" s="218">
        <v>7</v>
      </c>
      <c r="GV37" s="218">
        <v>7</v>
      </c>
      <c r="GW37" s="218">
        <v>7</v>
      </c>
      <c r="GX37" s="218">
        <v>7</v>
      </c>
      <c r="GY37" s="218">
        <v>7</v>
      </c>
      <c r="GZ37" s="218">
        <v>7</v>
      </c>
      <c r="HA37" s="218">
        <v>7</v>
      </c>
      <c r="HB37" s="218">
        <v>7</v>
      </c>
      <c r="HC37" s="218">
        <v>7</v>
      </c>
      <c r="HD37" s="218">
        <v>7</v>
      </c>
      <c r="HE37" s="218">
        <v>7</v>
      </c>
      <c r="HF37" s="218">
        <v>6</v>
      </c>
      <c r="HG37" s="218">
        <v>6</v>
      </c>
      <c r="HH37" s="218">
        <v>6</v>
      </c>
      <c r="HI37" s="218">
        <v>8</v>
      </c>
      <c r="HJ37" s="218">
        <v>8</v>
      </c>
      <c r="HK37" s="218">
        <v>5</v>
      </c>
      <c r="HL37" s="218">
        <v>7</v>
      </c>
      <c r="HM37" s="218">
        <v>7</v>
      </c>
      <c r="HN37" s="23" t="s">
        <v>160</v>
      </c>
      <c r="HO37" s="23" t="s">
        <v>160</v>
      </c>
      <c r="HP37" s="23" t="s">
        <v>160</v>
      </c>
      <c r="HQ37" s="218">
        <v>7</v>
      </c>
      <c r="HR37" s="218">
        <v>7</v>
      </c>
      <c r="HS37" s="218">
        <v>7</v>
      </c>
      <c r="HT37" s="218">
        <v>7</v>
      </c>
      <c r="HU37" s="218">
        <v>7</v>
      </c>
      <c r="HV37" s="218">
        <v>7</v>
      </c>
      <c r="HW37" s="218">
        <v>7</v>
      </c>
      <c r="HX37" s="218">
        <v>7</v>
      </c>
      <c r="HY37" s="218">
        <v>7</v>
      </c>
      <c r="HZ37" s="218">
        <v>7</v>
      </c>
      <c r="IA37" s="218">
        <v>7</v>
      </c>
      <c r="IB37" s="218">
        <v>6</v>
      </c>
      <c r="IC37" s="218">
        <v>6</v>
      </c>
      <c r="ID37" s="218">
        <v>6</v>
      </c>
      <c r="IE37" s="218">
        <v>8</v>
      </c>
      <c r="IF37" s="218">
        <v>8</v>
      </c>
      <c r="IG37" s="218">
        <v>5</v>
      </c>
      <c r="IH37" s="218">
        <v>7</v>
      </c>
      <c r="II37" s="218">
        <v>7</v>
      </c>
      <c r="IJ37" s="23" t="s">
        <v>160</v>
      </c>
      <c r="IK37" s="23" t="s">
        <v>160</v>
      </c>
      <c r="IL37" s="23" t="s">
        <v>160</v>
      </c>
      <c r="IM37" s="218">
        <v>7</v>
      </c>
      <c r="IN37" s="218">
        <v>7</v>
      </c>
      <c r="IO37" s="218">
        <v>7</v>
      </c>
      <c r="IP37" s="218">
        <v>7</v>
      </c>
      <c r="IQ37" s="218">
        <v>7</v>
      </c>
      <c r="IR37" s="218">
        <v>7</v>
      </c>
      <c r="IS37" s="218">
        <v>7</v>
      </c>
      <c r="IT37" s="218">
        <v>7</v>
      </c>
      <c r="IU37" s="218">
        <v>7</v>
      </c>
      <c r="IV37" s="218">
        <v>7</v>
      </c>
      <c r="IW37" s="218">
        <v>7</v>
      </c>
      <c r="IX37" s="218">
        <v>6</v>
      </c>
      <c r="IY37" s="218">
        <v>6</v>
      </c>
      <c r="IZ37" s="218">
        <v>6</v>
      </c>
      <c r="JA37" s="218">
        <v>8</v>
      </c>
      <c r="JB37" s="218">
        <v>8</v>
      </c>
      <c r="JC37" s="218">
        <v>5</v>
      </c>
      <c r="JD37" s="218">
        <v>7</v>
      </c>
      <c r="JE37" s="218">
        <v>7</v>
      </c>
      <c r="JF37" s="23" t="s">
        <v>160</v>
      </c>
      <c r="JG37" s="23" t="s">
        <v>160</v>
      </c>
      <c r="JH37" s="23" t="s">
        <v>160</v>
      </c>
      <c r="JI37" s="218">
        <v>7</v>
      </c>
      <c r="JJ37" s="218">
        <v>7</v>
      </c>
      <c r="JK37" s="218">
        <v>7</v>
      </c>
      <c r="JL37" s="218">
        <v>7</v>
      </c>
      <c r="JM37" s="218">
        <v>7</v>
      </c>
      <c r="JN37" s="218">
        <v>7</v>
      </c>
      <c r="JO37" s="218">
        <v>7</v>
      </c>
      <c r="JP37" s="218">
        <v>7</v>
      </c>
      <c r="JQ37" s="218">
        <v>7</v>
      </c>
      <c r="JR37" s="218">
        <v>7</v>
      </c>
      <c r="JS37" s="218">
        <v>7</v>
      </c>
      <c r="JT37" s="218">
        <v>6</v>
      </c>
      <c r="JU37" s="218">
        <v>6</v>
      </c>
      <c r="JV37" s="218">
        <v>6</v>
      </c>
      <c r="JW37" s="218">
        <v>8</v>
      </c>
      <c r="JX37" s="218">
        <v>8</v>
      </c>
      <c r="JY37" s="218">
        <v>5</v>
      </c>
      <c r="JZ37" s="218">
        <v>7</v>
      </c>
      <c r="KA37" s="218">
        <v>7</v>
      </c>
      <c r="KB37" s="23" t="s">
        <v>160</v>
      </c>
      <c r="KC37" s="23" t="s">
        <v>160</v>
      </c>
      <c r="KD37" s="23" t="s">
        <v>160</v>
      </c>
      <c r="KE37" s="218">
        <v>7</v>
      </c>
      <c r="KF37" s="218">
        <v>7</v>
      </c>
      <c r="KG37" s="218">
        <v>7</v>
      </c>
      <c r="KH37" s="218">
        <v>7</v>
      </c>
      <c r="KI37" s="218">
        <v>7</v>
      </c>
      <c r="KJ37" s="218">
        <v>7</v>
      </c>
      <c r="KK37" s="218">
        <v>7</v>
      </c>
      <c r="KL37" s="218">
        <v>7</v>
      </c>
      <c r="KM37" s="218">
        <v>7</v>
      </c>
      <c r="KN37" s="218">
        <v>7</v>
      </c>
      <c r="KO37" s="218">
        <v>7</v>
      </c>
      <c r="KP37" s="218">
        <v>6</v>
      </c>
      <c r="KQ37" s="218">
        <v>6</v>
      </c>
      <c r="KR37" s="218">
        <v>6</v>
      </c>
      <c r="KS37" s="218">
        <v>8</v>
      </c>
      <c r="KT37" s="218">
        <v>8</v>
      </c>
      <c r="KU37" s="218">
        <v>5</v>
      </c>
      <c r="KV37" s="218">
        <v>7</v>
      </c>
      <c r="KW37" s="218">
        <v>7</v>
      </c>
      <c r="KX37" s="23" t="s">
        <v>160</v>
      </c>
      <c r="KY37" s="23" t="s">
        <v>160</v>
      </c>
      <c r="KZ37" s="23" t="s">
        <v>160</v>
      </c>
    </row>
    <row r="38" spans="2:312" s="23" customFormat="1">
      <c r="B38" s="342"/>
      <c r="C38" s="23" t="s">
        <v>100</v>
      </c>
      <c r="D38" s="23" t="s">
        <v>84</v>
      </c>
      <c r="E38" s="218">
        <v>7</v>
      </c>
      <c r="F38" s="218">
        <v>7</v>
      </c>
      <c r="G38" s="218">
        <v>7</v>
      </c>
      <c r="H38" s="218">
        <v>7</v>
      </c>
      <c r="I38" s="218">
        <v>7</v>
      </c>
      <c r="J38" s="218">
        <v>7</v>
      </c>
      <c r="K38" s="218">
        <v>7</v>
      </c>
      <c r="L38" s="218">
        <v>7</v>
      </c>
      <c r="M38" s="218">
        <v>7</v>
      </c>
      <c r="N38" s="218">
        <v>7</v>
      </c>
      <c r="O38" s="218">
        <v>7</v>
      </c>
      <c r="P38" s="218">
        <v>6</v>
      </c>
      <c r="Q38" s="218">
        <v>6</v>
      </c>
      <c r="R38" s="218">
        <v>6</v>
      </c>
      <c r="S38" s="218">
        <v>8</v>
      </c>
      <c r="T38" s="218">
        <v>8</v>
      </c>
      <c r="U38" s="218">
        <v>5</v>
      </c>
      <c r="V38" s="218">
        <v>7</v>
      </c>
      <c r="W38" s="218">
        <v>7</v>
      </c>
      <c r="X38" s="23" t="s">
        <v>160</v>
      </c>
      <c r="Y38" s="23" t="s">
        <v>160</v>
      </c>
      <c r="Z38" s="23" t="s">
        <v>160</v>
      </c>
      <c r="AA38" s="218">
        <v>7</v>
      </c>
      <c r="AB38" s="218">
        <v>7</v>
      </c>
      <c r="AC38" s="218">
        <v>7</v>
      </c>
      <c r="AD38" s="218">
        <v>7</v>
      </c>
      <c r="AE38" s="218">
        <v>7</v>
      </c>
      <c r="AF38" s="218">
        <v>7</v>
      </c>
      <c r="AG38" s="218">
        <v>7</v>
      </c>
      <c r="AH38" s="218">
        <v>7</v>
      </c>
      <c r="AI38" s="218">
        <v>7</v>
      </c>
      <c r="AJ38" s="218">
        <v>7</v>
      </c>
      <c r="AK38" s="218">
        <v>7</v>
      </c>
      <c r="AL38" s="218">
        <v>6</v>
      </c>
      <c r="AM38" s="218">
        <v>6</v>
      </c>
      <c r="AN38" s="218">
        <v>6</v>
      </c>
      <c r="AO38" s="218">
        <v>8</v>
      </c>
      <c r="AP38" s="218">
        <v>8</v>
      </c>
      <c r="AQ38" s="218">
        <v>5</v>
      </c>
      <c r="AR38" s="218">
        <v>7</v>
      </c>
      <c r="AS38" s="218">
        <v>7</v>
      </c>
      <c r="AT38" s="23" t="s">
        <v>160</v>
      </c>
      <c r="AU38" s="23" t="s">
        <v>160</v>
      </c>
      <c r="AV38" s="23" t="s">
        <v>160</v>
      </c>
      <c r="AW38" s="218">
        <v>7</v>
      </c>
      <c r="AX38" s="218">
        <v>7</v>
      </c>
      <c r="AY38" s="218">
        <v>7</v>
      </c>
      <c r="AZ38" s="218">
        <v>7</v>
      </c>
      <c r="BA38" s="218">
        <v>7</v>
      </c>
      <c r="BB38" s="218">
        <v>7</v>
      </c>
      <c r="BC38" s="218">
        <v>7</v>
      </c>
      <c r="BD38" s="218">
        <v>7</v>
      </c>
      <c r="BE38" s="218">
        <v>7</v>
      </c>
      <c r="BF38" s="218">
        <v>7</v>
      </c>
      <c r="BG38" s="218">
        <v>7</v>
      </c>
      <c r="BH38" s="218">
        <v>6</v>
      </c>
      <c r="BI38" s="218">
        <v>6</v>
      </c>
      <c r="BJ38" s="218">
        <v>6</v>
      </c>
      <c r="BK38" s="218">
        <v>8</v>
      </c>
      <c r="BL38" s="218">
        <v>8</v>
      </c>
      <c r="BM38" s="218">
        <v>5</v>
      </c>
      <c r="BN38" s="218">
        <v>7</v>
      </c>
      <c r="BO38" s="218">
        <v>7</v>
      </c>
      <c r="BP38" s="23" t="s">
        <v>160</v>
      </c>
      <c r="BQ38" s="23" t="s">
        <v>160</v>
      </c>
      <c r="BR38" s="23" t="s">
        <v>160</v>
      </c>
      <c r="BS38" s="218">
        <v>7</v>
      </c>
      <c r="BT38" s="218">
        <v>7</v>
      </c>
      <c r="BU38" s="218">
        <v>7</v>
      </c>
      <c r="BV38" s="218">
        <v>7</v>
      </c>
      <c r="BW38" s="218">
        <v>7</v>
      </c>
      <c r="BX38" s="218">
        <v>7</v>
      </c>
      <c r="BY38" s="218">
        <v>7</v>
      </c>
      <c r="BZ38" s="218">
        <v>7</v>
      </c>
      <c r="CA38" s="218">
        <v>7</v>
      </c>
      <c r="CB38" s="218">
        <v>7</v>
      </c>
      <c r="CC38" s="218">
        <v>7</v>
      </c>
      <c r="CD38" s="218">
        <v>6</v>
      </c>
      <c r="CE38" s="218">
        <v>6</v>
      </c>
      <c r="CF38" s="218">
        <v>6</v>
      </c>
      <c r="CG38" s="218">
        <v>8</v>
      </c>
      <c r="CH38" s="218">
        <v>8</v>
      </c>
      <c r="CI38" s="218">
        <v>5</v>
      </c>
      <c r="CJ38" s="218">
        <v>7</v>
      </c>
      <c r="CK38" s="218">
        <v>7</v>
      </c>
      <c r="CL38" s="23" t="s">
        <v>160</v>
      </c>
      <c r="CM38" s="23" t="s">
        <v>160</v>
      </c>
      <c r="CN38" s="23" t="s">
        <v>160</v>
      </c>
      <c r="CO38" s="218">
        <v>7</v>
      </c>
      <c r="CP38" s="218">
        <v>7</v>
      </c>
      <c r="CQ38" s="218">
        <v>7</v>
      </c>
      <c r="CR38" s="218">
        <v>7</v>
      </c>
      <c r="CS38" s="218">
        <v>7</v>
      </c>
      <c r="CT38" s="218">
        <v>7</v>
      </c>
      <c r="CU38" s="218">
        <v>7</v>
      </c>
      <c r="CV38" s="218">
        <v>7</v>
      </c>
      <c r="CW38" s="218">
        <v>7</v>
      </c>
      <c r="CX38" s="218">
        <v>7</v>
      </c>
      <c r="CY38" s="218">
        <v>7</v>
      </c>
      <c r="CZ38" s="218">
        <v>6</v>
      </c>
      <c r="DA38" s="218">
        <v>6</v>
      </c>
      <c r="DB38" s="218">
        <v>6</v>
      </c>
      <c r="DC38" s="218">
        <v>8</v>
      </c>
      <c r="DD38" s="218">
        <v>8</v>
      </c>
      <c r="DE38" s="218">
        <v>5</v>
      </c>
      <c r="DF38" s="218">
        <v>7</v>
      </c>
      <c r="DG38" s="218">
        <v>7</v>
      </c>
      <c r="DH38" s="23" t="s">
        <v>160</v>
      </c>
      <c r="DI38" s="23" t="s">
        <v>160</v>
      </c>
      <c r="DJ38" s="23" t="s">
        <v>160</v>
      </c>
      <c r="DK38" s="218">
        <v>7</v>
      </c>
      <c r="DL38" s="218">
        <v>7</v>
      </c>
      <c r="DM38" s="218">
        <v>7</v>
      </c>
      <c r="DN38" s="218">
        <v>7</v>
      </c>
      <c r="DO38" s="218">
        <v>7</v>
      </c>
      <c r="DP38" s="218">
        <v>7</v>
      </c>
      <c r="DQ38" s="218">
        <v>7</v>
      </c>
      <c r="DR38" s="218">
        <v>7</v>
      </c>
      <c r="DS38" s="218">
        <v>7</v>
      </c>
      <c r="DT38" s="218">
        <v>7</v>
      </c>
      <c r="DU38" s="218">
        <v>7</v>
      </c>
      <c r="DV38" s="218">
        <v>6</v>
      </c>
      <c r="DW38" s="218">
        <v>6</v>
      </c>
      <c r="DX38" s="218">
        <v>6</v>
      </c>
      <c r="DY38" s="218">
        <v>8</v>
      </c>
      <c r="DZ38" s="218">
        <v>8</v>
      </c>
      <c r="EA38" s="218">
        <v>5</v>
      </c>
      <c r="EB38" s="218">
        <v>7</v>
      </c>
      <c r="EC38" s="218">
        <v>7</v>
      </c>
      <c r="ED38" s="23" t="s">
        <v>160</v>
      </c>
      <c r="EE38" s="23" t="s">
        <v>160</v>
      </c>
      <c r="EF38" s="23" t="s">
        <v>160</v>
      </c>
      <c r="EG38" s="218">
        <v>7</v>
      </c>
      <c r="EH38" s="218">
        <v>7</v>
      </c>
      <c r="EI38" s="218">
        <v>7</v>
      </c>
      <c r="EJ38" s="218">
        <v>7</v>
      </c>
      <c r="EK38" s="218">
        <v>7</v>
      </c>
      <c r="EL38" s="218">
        <v>7</v>
      </c>
      <c r="EM38" s="218">
        <v>7</v>
      </c>
      <c r="EN38" s="218">
        <v>7</v>
      </c>
      <c r="EO38" s="218">
        <v>7</v>
      </c>
      <c r="EP38" s="218">
        <v>7</v>
      </c>
      <c r="EQ38" s="218">
        <v>7</v>
      </c>
      <c r="ER38" s="218">
        <v>6</v>
      </c>
      <c r="ES38" s="218">
        <v>6</v>
      </c>
      <c r="ET38" s="218">
        <v>6</v>
      </c>
      <c r="EU38" s="218">
        <v>8</v>
      </c>
      <c r="EV38" s="218">
        <v>8</v>
      </c>
      <c r="EW38" s="218">
        <v>5</v>
      </c>
      <c r="EX38" s="218">
        <v>7</v>
      </c>
      <c r="EY38" s="218">
        <v>7</v>
      </c>
      <c r="EZ38" s="23" t="s">
        <v>160</v>
      </c>
      <c r="FA38" s="23" t="s">
        <v>160</v>
      </c>
      <c r="FB38" s="23" t="s">
        <v>160</v>
      </c>
      <c r="FC38" s="218">
        <v>7</v>
      </c>
      <c r="FD38" s="218">
        <v>7</v>
      </c>
      <c r="FE38" s="218">
        <v>7</v>
      </c>
      <c r="FF38" s="218">
        <v>7</v>
      </c>
      <c r="FG38" s="218">
        <v>7</v>
      </c>
      <c r="FH38" s="218">
        <v>7</v>
      </c>
      <c r="FI38" s="218">
        <v>7</v>
      </c>
      <c r="FJ38" s="218">
        <v>7</v>
      </c>
      <c r="FK38" s="218">
        <v>7</v>
      </c>
      <c r="FL38" s="218">
        <v>7</v>
      </c>
      <c r="FM38" s="218">
        <v>7</v>
      </c>
      <c r="FN38" s="218">
        <v>6</v>
      </c>
      <c r="FO38" s="218">
        <v>6</v>
      </c>
      <c r="FP38" s="218">
        <v>6</v>
      </c>
      <c r="FQ38" s="218">
        <v>8</v>
      </c>
      <c r="FR38" s="218">
        <v>8</v>
      </c>
      <c r="FS38" s="218">
        <v>5</v>
      </c>
      <c r="FT38" s="218">
        <v>7</v>
      </c>
      <c r="FU38" s="218">
        <v>7</v>
      </c>
      <c r="FV38" s="23" t="s">
        <v>160</v>
      </c>
      <c r="FW38" s="23" t="s">
        <v>160</v>
      </c>
      <c r="FX38" s="23" t="s">
        <v>160</v>
      </c>
      <c r="FY38" s="218">
        <v>7</v>
      </c>
      <c r="FZ38" s="218">
        <v>7</v>
      </c>
      <c r="GA38" s="218">
        <v>7</v>
      </c>
      <c r="GB38" s="218">
        <v>7</v>
      </c>
      <c r="GC38" s="218">
        <v>7</v>
      </c>
      <c r="GD38" s="218">
        <v>7</v>
      </c>
      <c r="GE38" s="218">
        <v>7</v>
      </c>
      <c r="GF38" s="218">
        <v>7</v>
      </c>
      <c r="GG38" s="218">
        <v>7</v>
      </c>
      <c r="GH38" s="218">
        <v>7</v>
      </c>
      <c r="GI38" s="218">
        <v>7</v>
      </c>
      <c r="GJ38" s="218">
        <v>6</v>
      </c>
      <c r="GK38" s="218">
        <v>6</v>
      </c>
      <c r="GL38" s="218">
        <v>6</v>
      </c>
      <c r="GM38" s="218">
        <v>8</v>
      </c>
      <c r="GN38" s="218">
        <v>8</v>
      </c>
      <c r="GO38" s="218">
        <v>5</v>
      </c>
      <c r="GP38" s="218">
        <v>7</v>
      </c>
      <c r="GQ38" s="218">
        <v>7</v>
      </c>
      <c r="GR38" s="23" t="s">
        <v>160</v>
      </c>
      <c r="GS38" s="23" t="s">
        <v>160</v>
      </c>
      <c r="GT38" s="23" t="s">
        <v>160</v>
      </c>
      <c r="GU38" s="218">
        <v>7</v>
      </c>
      <c r="GV38" s="218">
        <v>7</v>
      </c>
      <c r="GW38" s="218">
        <v>7</v>
      </c>
      <c r="GX38" s="218">
        <v>7</v>
      </c>
      <c r="GY38" s="218">
        <v>7</v>
      </c>
      <c r="GZ38" s="218">
        <v>7</v>
      </c>
      <c r="HA38" s="218">
        <v>7</v>
      </c>
      <c r="HB38" s="218">
        <v>7</v>
      </c>
      <c r="HC38" s="218">
        <v>7</v>
      </c>
      <c r="HD38" s="218">
        <v>7</v>
      </c>
      <c r="HE38" s="218">
        <v>7</v>
      </c>
      <c r="HF38" s="218">
        <v>6</v>
      </c>
      <c r="HG38" s="218">
        <v>6</v>
      </c>
      <c r="HH38" s="218">
        <v>6</v>
      </c>
      <c r="HI38" s="218">
        <v>8</v>
      </c>
      <c r="HJ38" s="218">
        <v>8</v>
      </c>
      <c r="HK38" s="218">
        <v>5</v>
      </c>
      <c r="HL38" s="218">
        <v>7</v>
      </c>
      <c r="HM38" s="218">
        <v>7</v>
      </c>
      <c r="HN38" s="23" t="s">
        <v>160</v>
      </c>
      <c r="HO38" s="23" t="s">
        <v>160</v>
      </c>
      <c r="HP38" s="23" t="s">
        <v>160</v>
      </c>
      <c r="HQ38" s="218">
        <v>7</v>
      </c>
      <c r="HR38" s="218">
        <v>7</v>
      </c>
      <c r="HS38" s="218">
        <v>7</v>
      </c>
      <c r="HT38" s="218">
        <v>7</v>
      </c>
      <c r="HU38" s="218">
        <v>7</v>
      </c>
      <c r="HV38" s="218">
        <v>7</v>
      </c>
      <c r="HW38" s="218">
        <v>7</v>
      </c>
      <c r="HX38" s="218">
        <v>7</v>
      </c>
      <c r="HY38" s="218">
        <v>7</v>
      </c>
      <c r="HZ38" s="218">
        <v>7</v>
      </c>
      <c r="IA38" s="218">
        <v>7</v>
      </c>
      <c r="IB38" s="218">
        <v>6</v>
      </c>
      <c r="IC38" s="218">
        <v>6</v>
      </c>
      <c r="ID38" s="218">
        <v>6</v>
      </c>
      <c r="IE38" s="218">
        <v>8</v>
      </c>
      <c r="IF38" s="218">
        <v>8</v>
      </c>
      <c r="IG38" s="218">
        <v>5</v>
      </c>
      <c r="IH38" s="218">
        <v>7</v>
      </c>
      <c r="II38" s="218">
        <v>7</v>
      </c>
      <c r="IJ38" s="23" t="s">
        <v>160</v>
      </c>
      <c r="IK38" s="23" t="s">
        <v>160</v>
      </c>
      <c r="IL38" s="23" t="s">
        <v>160</v>
      </c>
      <c r="IM38" s="218">
        <v>7</v>
      </c>
      <c r="IN38" s="218">
        <v>7</v>
      </c>
      <c r="IO38" s="218">
        <v>7</v>
      </c>
      <c r="IP38" s="218">
        <v>7</v>
      </c>
      <c r="IQ38" s="218">
        <v>7</v>
      </c>
      <c r="IR38" s="218">
        <v>7</v>
      </c>
      <c r="IS38" s="218">
        <v>7</v>
      </c>
      <c r="IT38" s="218">
        <v>7</v>
      </c>
      <c r="IU38" s="218">
        <v>7</v>
      </c>
      <c r="IV38" s="218">
        <v>7</v>
      </c>
      <c r="IW38" s="218">
        <v>7</v>
      </c>
      <c r="IX38" s="218">
        <v>6</v>
      </c>
      <c r="IY38" s="218">
        <v>6</v>
      </c>
      <c r="IZ38" s="218">
        <v>6</v>
      </c>
      <c r="JA38" s="218">
        <v>8</v>
      </c>
      <c r="JB38" s="218">
        <v>8</v>
      </c>
      <c r="JC38" s="218">
        <v>5</v>
      </c>
      <c r="JD38" s="218">
        <v>7</v>
      </c>
      <c r="JE38" s="218">
        <v>7</v>
      </c>
      <c r="JF38" s="23" t="s">
        <v>160</v>
      </c>
      <c r="JG38" s="23" t="s">
        <v>160</v>
      </c>
      <c r="JH38" s="23" t="s">
        <v>160</v>
      </c>
      <c r="JI38" s="218">
        <v>7</v>
      </c>
      <c r="JJ38" s="218">
        <v>7</v>
      </c>
      <c r="JK38" s="218">
        <v>7</v>
      </c>
      <c r="JL38" s="218">
        <v>7</v>
      </c>
      <c r="JM38" s="218">
        <v>7</v>
      </c>
      <c r="JN38" s="218">
        <v>7</v>
      </c>
      <c r="JO38" s="218">
        <v>7</v>
      </c>
      <c r="JP38" s="218">
        <v>7</v>
      </c>
      <c r="JQ38" s="218">
        <v>7</v>
      </c>
      <c r="JR38" s="218">
        <v>7</v>
      </c>
      <c r="JS38" s="218">
        <v>7</v>
      </c>
      <c r="JT38" s="218">
        <v>6</v>
      </c>
      <c r="JU38" s="218">
        <v>6</v>
      </c>
      <c r="JV38" s="218">
        <v>6</v>
      </c>
      <c r="JW38" s="218">
        <v>8</v>
      </c>
      <c r="JX38" s="218">
        <v>8</v>
      </c>
      <c r="JY38" s="218">
        <v>5</v>
      </c>
      <c r="JZ38" s="218">
        <v>7</v>
      </c>
      <c r="KA38" s="218">
        <v>7</v>
      </c>
      <c r="KB38" s="23" t="s">
        <v>160</v>
      </c>
      <c r="KC38" s="23" t="s">
        <v>160</v>
      </c>
      <c r="KD38" s="23" t="s">
        <v>160</v>
      </c>
      <c r="KE38" s="218">
        <v>7</v>
      </c>
      <c r="KF38" s="218">
        <v>7</v>
      </c>
      <c r="KG38" s="218">
        <v>7</v>
      </c>
      <c r="KH38" s="218">
        <v>7</v>
      </c>
      <c r="KI38" s="218">
        <v>7</v>
      </c>
      <c r="KJ38" s="218">
        <v>7</v>
      </c>
      <c r="KK38" s="218">
        <v>7</v>
      </c>
      <c r="KL38" s="218">
        <v>7</v>
      </c>
      <c r="KM38" s="218">
        <v>7</v>
      </c>
      <c r="KN38" s="218">
        <v>7</v>
      </c>
      <c r="KO38" s="218">
        <v>7</v>
      </c>
      <c r="KP38" s="218">
        <v>6</v>
      </c>
      <c r="KQ38" s="218">
        <v>6</v>
      </c>
      <c r="KR38" s="218">
        <v>6</v>
      </c>
      <c r="KS38" s="218">
        <v>8</v>
      </c>
      <c r="KT38" s="218">
        <v>8</v>
      </c>
      <c r="KU38" s="218">
        <v>5</v>
      </c>
      <c r="KV38" s="218">
        <v>7</v>
      </c>
      <c r="KW38" s="218">
        <v>7</v>
      </c>
      <c r="KX38" s="23" t="s">
        <v>160</v>
      </c>
      <c r="KY38" s="23" t="s">
        <v>160</v>
      </c>
      <c r="KZ38" s="23" t="s">
        <v>160</v>
      </c>
    </row>
    <row r="39" spans="2:312" s="23" customFormat="1">
      <c r="B39" s="343"/>
      <c r="C39" s="127" t="s">
        <v>101</v>
      </c>
      <c r="D39" s="127" t="s">
        <v>84</v>
      </c>
      <c r="E39" s="247">
        <v>10</v>
      </c>
      <c r="F39" s="247">
        <v>10</v>
      </c>
      <c r="G39" s="247">
        <v>10</v>
      </c>
      <c r="H39" s="247">
        <v>10</v>
      </c>
      <c r="I39" s="247">
        <v>10</v>
      </c>
      <c r="J39" s="247">
        <v>10</v>
      </c>
      <c r="K39" s="247">
        <v>10</v>
      </c>
      <c r="L39" s="247">
        <v>10</v>
      </c>
      <c r="M39" s="247">
        <v>10</v>
      </c>
      <c r="N39" s="247">
        <v>10</v>
      </c>
      <c r="O39" s="247">
        <v>10</v>
      </c>
      <c r="P39" s="247">
        <v>5</v>
      </c>
      <c r="Q39" s="247">
        <v>5</v>
      </c>
      <c r="R39" s="247">
        <v>5</v>
      </c>
      <c r="S39" s="247">
        <v>10</v>
      </c>
      <c r="T39" s="247">
        <v>6</v>
      </c>
      <c r="U39" s="247">
        <v>4</v>
      </c>
      <c r="V39" s="247">
        <v>10</v>
      </c>
      <c r="W39" s="247">
        <v>10</v>
      </c>
      <c r="X39" s="127" t="s">
        <v>160</v>
      </c>
      <c r="Y39" s="127" t="s">
        <v>160</v>
      </c>
      <c r="Z39" s="127" t="s">
        <v>160</v>
      </c>
      <c r="AA39" s="247">
        <v>10</v>
      </c>
      <c r="AB39" s="247">
        <v>10</v>
      </c>
      <c r="AC39" s="247">
        <v>10</v>
      </c>
      <c r="AD39" s="247">
        <v>10</v>
      </c>
      <c r="AE39" s="247">
        <v>10</v>
      </c>
      <c r="AF39" s="247">
        <v>10</v>
      </c>
      <c r="AG39" s="247">
        <v>10</v>
      </c>
      <c r="AH39" s="247">
        <v>10</v>
      </c>
      <c r="AI39" s="247">
        <v>10</v>
      </c>
      <c r="AJ39" s="247">
        <v>10</v>
      </c>
      <c r="AK39" s="247">
        <v>10</v>
      </c>
      <c r="AL39" s="247">
        <v>5</v>
      </c>
      <c r="AM39" s="247">
        <v>5</v>
      </c>
      <c r="AN39" s="247">
        <v>5</v>
      </c>
      <c r="AO39" s="247">
        <v>10</v>
      </c>
      <c r="AP39" s="247">
        <v>6</v>
      </c>
      <c r="AQ39" s="247">
        <v>4</v>
      </c>
      <c r="AR39" s="247">
        <v>10</v>
      </c>
      <c r="AS39" s="247">
        <v>10</v>
      </c>
      <c r="AT39" s="127" t="s">
        <v>160</v>
      </c>
      <c r="AU39" s="127" t="s">
        <v>160</v>
      </c>
      <c r="AV39" s="127" t="s">
        <v>160</v>
      </c>
      <c r="AW39" s="247">
        <v>10</v>
      </c>
      <c r="AX39" s="247">
        <v>10</v>
      </c>
      <c r="AY39" s="247">
        <v>10</v>
      </c>
      <c r="AZ39" s="247">
        <v>10</v>
      </c>
      <c r="BA39" s="247">
        <v>10</v>
      </c>
      <c r="BB39" s="247">
        <v>10</v>
      </c>
      <c r="BC39" s="247">
        <v>10</v>
      </c>
      <c r="BD39" s="247">
        <v>10</v>
      </c>
      <c r="BE39" s="247">
        <v>10</v>
      </c>
      <c r="BF39" s="247">
        <v>10</v>
      </c>
      <c r="BG39" s="247">
        <v>10</v>
      </c>
      <c r="BH39" s="247">
        <v>5</v>
      </c>
      <c r="BI39" s="247">
        <v>5</v>
      </c>
      <c r="BJ39" s="247">
        <v>5</v>
      </c>
      <c r="BK39" s="247">
        <v>10</v>
      </c>
      <c r="BL39" s="247">
        <v>6</v>
      </c>
      <c r="BM39" s="247">
        <v>4</v>
      </c>
      <c r="BN39" s="247">
        <v>10</v>
      </c>
      <c r="BO39" s="247">
        <v>10</v>
      </c>
      <c r="BP39" s="127" t="s">
        <v>160</v>
      </c>
      <c r="BQ39" s="127" t="s">
        <v>160</v>
      </c>
      <c r="BR39" s="127" t="s">
        <v>160</v>
      </c>
      <c r="BS39" s="247">
        <v>10</v>
      </c>
      <c r="BT39" s="247">
        <v>10</v>
      </c>
      <c r="BU39" s="247">
        <v>10</v>
      </c>
      <c r="BV39" s="247">
        <v>10</v>
      </c>
      <c r="BW39" s="247">
        <v>10</v>
      </c>
      <c r="BX39" s="247">
        <v>10</v>
      </c>
      <c r="BY39" s="247">
        <v>10</v>
      </c>
      <c r="BZ39" s="247">
        <v>10</v>
      </c>
      <c r="CA39" s="247">
        <v>10</v>
      </c>
      <c r="CB39" s="247">
        <v>10</v>
      </c>
      <c r="CC39" s="247">
        <v>10</v>
      </c>
      <c r="CD39" s="247">
        <v>5</v>
      </c>
      <c r="CE39" s="247">
        <v>5</v>
      </c>
      <c r="CF39" s="247">
        <v>5</v>
      </c>
      <c r="CG39" s="247">
        <v>10</v>
      </c>
      <c r="CH39" s="247">
        <v>6</v>
      </c>
      <c r="CI39" s="247">
        <v>4</v>
      </c>
      <c r="CJ39" s="247">
        <v>10</v>
      </c>
      <c r="CK39" s="247">
        <v>10</v>
      </c>
      <c r="CL39" s="127" t="s">
        <v>160</v>
      </c>
      <c r="CM39" s="127" t="s">
        <v>160</v>
      </c>
      <c r="CN39" s="127" t="s">
        <v>160</v>
      </c>
      <c r="CO39" s="247">
        <v>10</v>
      </c>
      <c r="CP39" s="247">
        <v>10</v>
      </c>
      <c r="CQ39" s="247">
        <v>10</v>
      </c>
      <c r="CR39" s="247">
        <v>10</v>
      </c>
      <c r="CS39" s="247">
        <v>10</v>
      </c>
      <c r="CT39" s="247">
        <v>10</v>
      </c>
      <c r="CU39" s="247">
        <v>10</v>
      </c>
      <c r="CV39" s="247">
        <v>10</v>
      </c>
      <c r="CW39" s="247">
        <v>10</v>
      </c>
      <c r="CX39" s="247">
        <v>10</v>
      </c>
      <c r="CY39" s="247">
        <v>10</v>
      </c>
      <c r="CZ39" s="247">
        <v>5</v>
      </c>
      <c r="DA39" s="247">
        <v>5</v>
      </c>
      <c r="DB39" s="247">
        <v>5</v>
      </c>
      <c r="DC39" s="247">
        <v>10</v>
      </c>
      <c r="DD39" s="247">
        <v>6</v>
      </c>
      <c r="DE39" s="247">
        <v>4</v>
      </c>
      <c r="DF39" s="247">
        <v>10</v>
      </c>
      <c r="DG39" s="247">
        <v>10</v>
      </c>
      <c r="DH39" s="127" t="s">
        <v>160</v>
      </c>
      <c r="DI39" s="127" t="s">
        <v>160</v>
      </c>
      <c r="DJ39" s="127" t="s">
        <v>160</v>
      </c>
      <c r="DK39" s="247">
        <v>10</v>
      </c>
      <c r="DL39" s="247">
        <v>10</v>
      </c>
      <c r="DM39" s="247">
        <v>10</v>
      </c>
      <c r="DN39" s="247">
        <v>10</v>
      </c>
      <c r="DO39" s="247">
        <v>10</v>
      </c>
      <c r="DP39" s="247">
        <v>10</v>
      </c>
      <c r="DQ39" s="247">
        <v>10</v>
      </c>
      <c r="DR39" s="247">
        <v>10</v>
      </c>
      <c r="DS39" s="247">
        <v>10</v>
      </c>
      <c r="DT39" s="247">
        <v>10</v>
      </c>
      <c r="DU39" s="247">
        <v>10</v>
      </c>
      <c r="DV39" s="247">
        <v>5</v>
      </c>
      <c r="DW39" s="247">
        <v>5</v>
      </c>
      <c r="DX39" s="247">
        <v>5</v>
      </c>
      <c r="DY39" s="247">
        <v>10</v>
      </c>
      <c r="DZ39" s="247">
        <v>6</v>
      </c>
      <c r="EA39" s="247">
        <v>4</v>
      </c>
      <c r="EB39" s="247">
        <v>10</v>
      </c>
      <c r="EC39" s="247">
        <v>10</v>
      </c>
      <c r="ED39" s="127" t="s">
        <v>160</v>
      </c>
      <c r="EE39" s="127" t="s">
        <v>160</v>
      </c>
      <c r="EF39" s="127" t="s">
        <v>160</v>
      </c>
      <c r="EG39" s="247">
        <v>10</v>
      </c>
      <c r="EH39" s="247">
        <v>10</v>
      </c>
      <c r="EI39" s="247">
        <v>10</v>
      </c>
      <c r="EJ39" s="247">
        <v>10</v>
      </c>
      <c r="EK39" s="247">
        <v>10</v>
      </c>
      <c r="EL39" s="247">
        <v>10</v>
      </c>
      <c r="EM39" s="247">
        <v>10</v>
      </c>
      <c r="EN39" s="247">
        <v>10</v>
      </c>
      <c r="EO39" s="247">
        <v>10</v>
      </c>
      <c r="EP39" s="247">
        <v>10</v>
      </c>
      <c r="EQ39" s="247">
        <v>10</v>
      </c>
      <c r="ER39" s="247">
        <v>5</v>
      </c>
      <c r="ES39" s="247">
        <v>5</v>
      </c>
      <c r="ET39" s="247">
        <v>5</v>
      </c>
      <c r="EU39" s="247">
        <v>10</v>
      </c>
      <c r="EV39" s="247">
        <v>6</v>
      </c>
      <c r="EW39" s="247">
        <v>4</v>
      </c>
      <c r="EX39" s="247">
        <v>10</v>
      </c>
      <c r="EY39" s="247">
        <v>10</v>
      </c>
      <c r="EZ39" s="127" t="s">
        <v>160</v>
      </c>
      <c r="FA39" s="127" t="s">
        <v>160</v>
      </c>
      <c r="FB39" s="127" t="s">
        <v>160</v>
      </c>
      <c r="FC39" s="247">
        <v>10</v>
      </c>
      <c r="FD39" s="247">
        <v>10</v>
      </c>
      <c r="FE39" s="247">
        <v>10</v>
      </c>
      <c r="FF39" s="247">
        <v>10</v>
      </c>
      <c r="FG39" s="247">
        <v>10</v>
      </c>
      <c r="FH39" s="247">
        <v>10</v>
      </c>
      <c r="FI39" s="247">
        <v>10</v>
      </c>
      <c r="FJ39" s="247">
        <v>10</v>
      </c>
      <c r="FK39" s="247">
        <v>10</v>
      </c>
      <c r="FL39" s="247">
        <v>10</v>
      </c>
      <c r="FM39" s="247">
        <v>10</v>
      </c>
      <c r="FN39" s="247">
        <v>5</v>
      </c>
      <c r="FO39" s="247">
        <v>5</v>
      </c>
      <c r="FP39" s="247">
        <v>5</v>
      </c>
      <c r="FQ39" s="247">
        <v>10</v>
      </c>
      <c r="FR39" s="247">
        <v>6</v>
      </c>
      <c r="FS39" s="247">
        <v>4</v>
      </c>
      <c r="FT39" s="247">
        <v>10</v>
      </c>
      <c r="FU39" s="247">
        <v>10</v>
      </c>
      <c r="FV39" s="127" t="s">
        <v>160</v>
      </c>
      <c r="FW39" s="127" t="s">
        <v>160</v>
      </c>
      <c r="FX39" s="127" t="s">
        <v>160</v>
      </c>
      <c r="FY39" s="247">
        <v>10</v>
      </c>
      <c r="FZ39" s="247">
        <v>10</v>
      </c>
      <c r="GA39" s="247">
        <v>10</v>
      </c>
      <c r="GB39" s="247">
        <v>10</v>
      </c>
      <c r="GC39" s="247">
        <v>10</v>
      </c>
      <c r="GD39" s="247">
        <v>10</v>
      </c>
      <c r="GE39" s="247">
        <v>10</v>
      </c>
      <c r="GF39" s="247">
        <v>10</v>
      </c>
      <c r="GG39" s="247">
        <v>10</v>
      </c>
      <c r="GH39" s="247">
        <v>10</v>
      </c>
      <c r="GI39" s="247">
        <v>10</v>
      </c>
      <c r="GJ39" s="247">
        <v>5</v>
      </c>
      <c r="GK39" s="247">
        <v>5</v>
      </c>
      <c r="GL39" s="247">
        <v>5</v>
      </c>
      <c r="GM39" s="247">
        <v>10</v>
      </c>
      <c r="GN39" s="247">
        <v>6</v>
      </c>
      <c r="GO39" s="247">
        <v>4</v>
      </c>
      <c r="GP39" s="247">
        <v>10</v>
      </c>
      <c r="GQ39" s="247">
        <v>10</v>
      </c>
      <c r="GR39" s="127" t="s">
        <v>160</v>
      </c>
      <c r="GS39" s="127" t="s">
        <v>160</v>
      </c>
      <c r="GT39" s="127" t="s">
        <v>160</v>
      </c>
      <c r="GU39" s="247">
        <v>10</v>
      </c>
      <c r="GV39" s="247">
        <v>10</v>
      </c>
      <c r="GW39" s="247">
        <v>10</v>
      </c>
      <c r="GX39" s="247">
        <v>10</v>
      </c>
      <c r="GY39" s="247">
        <v>10</v>
      </c>
      <c r="GZ39" s="247">
        <v>10</v>
      </c>
      <c r="HA39" s="247">
        <v>10</v>
      </c>
      <c r="HB39" s="247">
        <v>10</v>
      </c>
      <c r="HC39" s="247">
        <v>10</v>
      </c>
      <c r="HD39" s="247">
        <v>10</v>
      </c>
      <c r="HE39" s="247">
        <v>10</v>
      </c>
      <c r="HF39" s="247">
        <v>5</v>
      </c>
      <c r="HG39" s="247">
        <v>5</v>
      </c>
      <c r="HH39" s="247">
        <v>5</v>
      </c>
      <c r="HI39" s="247">
        <v>10</v>
      </c>
      <c r="HJ39" s="247">
        <v>6</v>
      </c>
      <c r="HK39" s="247">
        <v>4</v>
      </c>
      <c r="HL39" s="247">
        <v>10</v>
      </c>
      <c r="HM39" s="247">
        <v>10</v>
      </c>
      <c r="HN39" s="127" t="s">
        <v>160</v>
      </c>
      <c r="HO39" s="127" t="s">
        <v>160</v>
      </c>
      <c r="HP39" s="127" t="s">
        <v>160</v>
      </c>
      <c r="HQ39" s="247">
        <v>10</v>
      </c>
      <c r="HR39" s="247">
        <v>10</v>
      </c>
      <c r="HS39" s="247">
        <v>10</v>
      </c>
      <c r="HT39" s="247">
        <v>10</v>
      </c>
      <c r="HU39" s="247">
        <v>10</v>
      </c>
      <c r="HV39" s="247">
        <v>10</v>
      </c>
      <c r="HW39" s="247">
        <v>10</v>
      </c>
      <c r="HX39" s="247">
        <v>10</v>
      </c>
      <c r="HY39" s="247">
        <v>10</v>
      </c>
      <c r="HZ39" s="247">
        <v>10</v>
      </c>
      <c r="IA39" s="247">
        <v>10</v>
      </c>
      <c r="IB39" s="247">
        <v>5</v>
      </c>
      <c r="IC39" s="247">
        <v>5</v>
      </c>
      <c r="ID39" s="247">
        <v>5</v>
      </c>
      <c r="IE39" s="247">
        <v>10</v>
      </c>
      <c r="IF39" s="247">
        <v>6</v>
      </c>
      <c r="IG39" s="247">
        <v>4</v>
      </c>
      <c r="IH39" s="247">
        <v>10</v>
      </c>
      <c r="II39" s="247">
        <v>10</v>
      </c>
      <c r="IJ39" s="127" t="s">
        <v>160</v>
      </c>
      <c r="IK39" s="127" t="s">
        <v>160</v>
      </c>
      <c r="IL39" s="127" t="s">
        <v>160</v>
      </c>
      <c r="IM39" s="247">
        <v>10</v>
      </c>
      <c r="IN39" s="247">
        <v>10</v>
      </c>
      <c r="IO39" s="247">
        <v>10</v>
      </c>
      <c r="IP39" s="247">
        <v>10</v>
      </c>
      <c r="IQ39" s="247">
        <v>10</v>
      </c>
      <c r="IR39" s="247">
        <v>10</v>
      </c>
      <c r="IS39" s="247">
        <v>10</v>
      </c>
      <c r="IT39" s="247">
        <v>10</v>
      </c>
      <c r="IU39" s="247">
        <v>10</v>
      </c>
      <c r="IV39" s="247">
        <v>10</v>
      </c>
      <c r="IW39" s="247">
        <v>10</v>
      </c>
      <c r="IX39" s="247">
        <v>5</v>
      </c>
      <c r="IY39" s="247">
        <v>5</v>
      </c>
      <c r="IZ39" s="247">
        <v>5</v>
      </c>
      <c r="JA39" s="247">
        <v>10</v>
      </c>
      <c r="JB39" s="247">
        <v>6</v>
      </c>
      <c r="JC39" s="247">
        <v>4</v>
      </c>
      <c r="JD39" s="247">
        <v>10</v>
      </c>
      <c r="JE39" s="247">
        <v>10</v>
      </c>
      <c r="JF39" s="127" t="s">
        <v>160</v>
      </c>
      <c r="JG39" s="127" t="s">
        <v>160</v>
      </c>
      <c r="JH39" s="127" t="s">
        <v>160</v>
      </c>
      <c r="JI39" s="247">
        <v>10</v>
      </c>
      <c r="JJ39" s="247">
        <v>10</v>
      </c>
      <c r="JK39" s="247">
        <v>10</v>
      </c>
      <c r="JL39" s="247">
        <v>10</v>
      </c>
      <c r="JM39" s="247">
        <v>10</v>
      </c>
      <c r="JN39" s="247">
        <v>10</v>
      </c>
      <c r="JO39" s="247">
        <v>10</v>
      </c>
      <c r="JP39" s="247">
        <v>10</v>
      </c>
      <c r="JQ39" s="247">
        <v>10</v>
      </c>
      <c r="JR39" s="247">
        <v>10</v>
      </c>
      <c r="JS39" s="247">
        <v>10</v>
      </c>
      <c r="JT39" s="247">
        <v>5</v>
      </c>
      <c r="JU39" s="247">
        <v>5</v>
      </c>
      <c r="JV39" s="247">
        <v>5</v>
      </c>
      <c r="JW39" s="247">
        <v>10</v>
      </c>
      <c r="JX39" s="247">
        <v>6</v>
      </c>
      <c r="JY39" s="247">
        <v>4</v>
      </c>
      <c r="JZ39" s="247">
        <v>10</v>
      </c>
      <c r="KA39" s="247">
        <v>10</v>
      </c>
      <c r="KB39" s="127" t="s">
        <v>160</v>
      </c>
      <c r="KC39" s="127" t="s">
        <v>160</v>
      </c>
      <c r="KD39" s="127" t="s">
        <v>160</v>
      </c>
      <c r="KE39" s="247">
        <v>10</v>
      </c>
      <c r="KF39" s="247">
        <v>10</v>
      </c>
      <c r="KG39" s="247">
        <v>10</v>
      </c>
      <c r="KH39" s="247">
        <v>10</v>
      </c>
      <c r="KI39" s="247">
        <v>10</v>
      </c>
      <c r="KJ39" s="247">
        <v>10</v>
      </c>
      <c r="KK39" s="247">
        <v>10</v>
      </c>
      <c r="KL39" s="247">
        <v>10</v>
      </c>
      <c r="KM39" s="247">
        <v>10</v>
      </c>
      <c r="KN39" s="247">
        <v>10</v>
      </c>
      <c r="KO39" s="247">
        <v>10</v>
      </c>
      <c r="KP39" s="247">
        <v>5</v>
      </c>
      <c r="KQ39" s="247">
        <v>5</v>
      </c>
      <c r="KR39" s="247">
        <v>5</v>
      </c>
      <c r="KS39" s="247">
        <v>10</v>
      </c>
      <c r="KT39" s="247">
        <v>6</v>
      </c>
      <c r="KU39" s="247">
        <v>4</v>
      </c>
      <c r="KV39" s="247">
        <v>10</v>
      </c>
      <c r="KW39" s="247">
        <v>10</v>
      </c>
      <c r="KX39" s="127" t="s">
        <v>160</v>
      </c>
      <c r="KY39" s="127" t="s">
        <v>160</v>
      </c>
      <c r="KZ39" s="127" t="s">
        <v>160</v>
      </c>
    </row>
    <row r="42" spans="2:312" ht="15.75" hidden="1" thickBot="1">
      <c r="B42" s="337" t="s">
        <v>162</v>
      </c>
      <c r="C42" s="338"/>
    </row>
    <row r="43" spans="2:312" hidden="1">
      <c r="B43" s="222"/>
      <c r="C43" s="223" t="s">
        <v>163</v>
      </c>
    </row>
    <row r="44" spans="2:312" hidden="1">
      <c r="B44" s="224"/>
      <c r="C44" s="225" t="s">
        <v>164</v>
      </c>
    </row>
    <row r="45" spans="2:312" hidden="1">
      <c r="B45" s="226"/>
      <c r="C45" s="225" t="s">
        <v>165</v>
      </c>
    </row>
    <row r="46" spans="2:312" ht="15.75" hidden="1" thickBot="1">
      <c r="B46" s="227"/>
      <c r="C46" s="228" t="s">
        <v>166</v>
      </c>
    </row>
    <row r="51" spans="305:305">
      <c r="KS51" s="23"/>
    </row>
  </sheetData>
  <sheetProtection algorithmName="SHA-512" hashValue="GArlgIzH8BRCSCPt17uXe7Jk7ztsehmVG1sp/h/WkAqV+eoaTdzKRw0NcjfN3ypa7o3k2cSprZfEl84GQAw7sA==" saltValue="XWEyI8O9YUGtlehaOxUpLw==" spinCount="100000" sheet="1" objects="1" scenarios="1"/>
  <mergeCells count="11">
    <mergeCell ref="B3:O3"/>
    <mergeCell ref="B4:O4"/>
    <mergeCell ref="B7:O7"/>
    <mergeCell ref="B14:B20"/>
    <mergeCell ref="B22:B33"/>
    <mergeCell ref="B42:C42"/>
    <mergeCell ref="B8:N8"/>
    <mergeCell ref="B9:N9"/>
    <mergeCell ref="B6:O6"/>
    <mergeCell ref="B5:O5"/>
    <mergeCell ref="B34:B39"/>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AF253-8C82-4EB4-B215-F0B48944F6EB}">
  <sheetPr codeName="Sheet10">
    <tabColor rgb="FFFF0000"/>
  </sheetPr>
  <dimension ref="A1:P32"/>
  <sheetViews>
    <sheetView topLeftCell="A12" zoomScale="110" zoomScaleNormal="110" workbookViewId="0">
      <selection activeCell="E38" sqref="E38"/>
    </sheetView>
  </sheetViews>
  <sheetFormatPr defaultRowHeight="15"/>
  <cols>
    <col min="1" max="1" width="10.28515625" customWidth="1"/>
    <col min="2" max="2" width="42.5703125" customWidth="1"/>
    <col min="3" max="3" width="11.5703125" bestFit="1" customWidth="1"/>
    <col min="4" max="4" width="10.5703125" bestFit="1" customWidth="1"/>
    <col min="5" max="5" width="10.7109375" bestFit="1" customWidth="1"/>
    <col min="6" max="11" width="11.7109375" bestFit="1" customWidth="1"/>
    <col min="12" max="12" width="10.7109375" bestFit="1" customWidth="1"/>
    <col min="13" max="14" width="11.7109375" bestFit="1" customWidth="1"/>
    <col min="15" max="16" width="13.42578125" bestFit="1" customWidth="1"/>
  </cols>
  <sheetData>
    <row r="1" spans="1:16" ht="26.25">
      <c r="A1" s="59" t="s">
        <v>167</v>
      </c>
      <c r="B1" s="59"/>
      <c r="F1" s="2"/>
    </row>
    <row r="2" spans="1:16" ht="18.75">
      <c r="A2" s="176" t="s">
        <v>168</v>
      </c>
      <c r="B2" t="s">
        <v>169</v>
      </c>
      <c r="E2" s="2"/>
    </row>
    <row r="3" spans="1:16">
      <c r="E3" s="2"/>
    </row>
    <row r="4" spans="1:16">
      <c r="E4" s="2"/>
    </row>
    <row r="5" spans="1:16" ht="58.5" customHeight="1">
      <c r="A5" s="4" t="s">
        <v>170</v>
      </c>
      <c r="B5" s="204"/>
      <c r="C5" s="34" t="s">
        <v>147</v>
      </c>
      <c r="D5" s="34" t="s">
        <v>148</v>
      </c>
      <c r="E5" s="34" t="s">
        <v>149</v>
      </c>
      <c r="F5" s="34" t="s">
        <v>150</v>
      </c>
      <c r="G5" s="34" t="s">
        <v>151</v>
      </c>
      <c r="H5" s="34" t="s">
        <v>152</v>
      </c>
      <c r="I5" s="34" t="s">
        <v>153</v>
      </c>
      <c r="J5" s="34" t="s">
        <v>154</v>
      </c>
      <c r="K5" s="34" t="s">
        <v>25</v>
      </c>
      <c r="L5" s="34" t="s">
        <v>155</v>
      </c>
      <c r="M5" s="34" t="s">
        <v>156</v>
      </c>
      <c r="N5" s="34" t="s">
        <v>157</v>
      </c>
      <c r="O5" s="34" t="s">
        <v>158</v>
      </c>
      <c r="P5" s="34" t="s">
        <v>159</v>
      </c>
    </row>
    <row r="6" spans="1:16">
      <c r="A6" s="30" t="s">
        <v>44</v>
      </c>
      <c r="B6" s="30"/>
      <c r="C6" s="8">
        <v>655</v>
      </c>
      <c r="D6" s="8">
        <v>503</v>
      </c>
      <c r="E6" s="5">
        <v>0</v>
      </c>
      <c r="F6" s="5">
        <v>387</v>
      </c>
      <c r="G6" s="5">
        <v>85</v>
      </c>
      <c r="H6" s="5">
        <v>58</v>
      </c>
      <c r="I6" s="5">
        <v>285</v>
      </c>
      <c r="J6" s="5">
        <v>335</v>
      </c>
      <c r="K6" s="5">
        <v>609</v>
      </c>
      <c r="L6" s="5">
        <v>460</v>
      </c>
      <c r="M6" s="5">
        <v>0</v>
      </c>
      <c r="N6" s="5">
        <v>254</v>
      </c>
      <c r="O6" s="5">
        <v>296</v>
      </c>
      <c r="P6" s="5">
        <f>SUM(C6:O6)</f>
        <v>3927</v>
      </c>
    </row>
    <row r="7" spans="1:16">
      <c r="A7" s="31" t="s">
        <v>45</v>
      </c>
      <c r="B7" s="31"/>
      <c r="C7" s="9">
        <v>6149</v>
      </c>
      <c r="D7" s="9">
        <v>8568</v>
      </c>
      <c r="E7" s="6">
        <v>466</v>
      </c>
      <c r="F7" s="6">
        <v>2031</v>
      </c>
      <c r="G7" s="6">
        <v>13823</v>
      </c>
      <c r="H7" s="6">
        <v>3121</v>
      </c>
      <c r="I7" s="6">
        <v>12539</v>
      </c>
      <c r="J7" s="6">
        <v>12548</v>
      </c>
      <c r="K7" s="6">
        <v>3141</v>
      </c>
      <c r="L7" s="6">
        <v>3686</v>
      </c>
      <c r="M7" s="6">
        <v>552</v>
      </c>
      <c r="N7" s="6">
        <v>6014</v>
      </c>
      <c r="O7" s="6">
        <v>3225</v>
      </c>
      <c r="P7" s="6">
        <f t="shared" ref="P7:P30" si="0">SUM(C7:O7)</f>
        <v>75863</v>
      </c>
    </row>
    <row r="8" spans="1:16">
      <c r="A8" s="31" t="s">
        <v>46</v>
      </c>
      <c r="B8" s="31"/>
      <c r="C8" s="9">
        <v>2</v>
      </c>
      <c r="D8" s="9">
        <v>89</v>
      </c>
      <c r="E8" s="6">
        <v>0</v>
      </c>
      <c r="F8" s="6">
        <v>458</v>
      </c>
      <c r="G8" s="6">
        <v>14</v>
      </c>
      <c r="H8" s="6">
        <v>50</v>
      </c>
      <c r="I8" s="6">
        <v>110</v>
      </c>
      <c r="J8" s="6">
        <v>1</v>
      </c>
      <c r="K8" s="6">
        <v>661</v>
      </c>
      <c r="L8" s="6">
        <v>41</v>
      </c>
      <c r="M8" s="6">
        <v>5</v>
      </c>
      <c r="N8" s="6">
        <v>212</v>
      </c>
      <c r="O8" s="6">
        <v>183</v>
      </c>
      <c r="P8" s="6">
        <f t="shared" si="0"/>
        <v>1826</v>
      </c>
    </row>
    <row r="9" spans="1:16">
      <c r="A9" s="31" t="s">
        <v>47</v>
      </c>
      <c r="B9" s="31"/>
      <c r="C9" s="9">
        <v>1850</v>
      </c>
      <c r="D9" s="9">
        <v>11193</v>
      </c>
      <c r="E9" s="6">
        <v>0</v>
      </c>
      <c r="F9" s="6">
        <v>4421</v>
      </c>
      <c r="G9" s="6">
        <v>20897</v>
      </c>
      <c r="H9" s="6">
        <v>11535</v>
      </c>
      <c r="I9" s="6">
        <v>10554</v>
      </c>
      <c r="J9" s="6">
        <v>8065</v>
      </c>
      <c r="K9" s="6">
        <v>12830</v>
      </c>
      <c r="L9" s="6">
        <v>4727</v>
      </c>
      <c r="M9" s="6">
        <v>2860</v>
      </c>
      <c r="N9" s="6">
        <v>3760</v>
      </c>
      <c r="O9" s="6">
        <v>14175</v>
      </c>
      <c r="P9" s="6">
        <f t="shared" si="0"/>
        <v>106867</v>
      </c>
    </row>
    <row r="10" spans="1:16">
      <c r="A10" s="31" t="s">
        <v>48</v>
      </c>
      <c r="B10" s="31"/>
      <c r="C10" s="9">
        <v>0</v>
      </c>
      <c r="D10" s="9">
        <v>12</v>
      </c>
      <c r="E10" s="6">
        <v>0</v>
      </c>
      <c r="F10" s="6">
        <v>0</v>
      </c>
      <c r="G10" s="6">
        <v>0</v>
      </c>
      <c r="H10" s="6">
        <v>0</v>
      </c>
      <c r="I10" s="6">
        <v>0</v>
      </c>
      <c r="J10" s="6">
        <v>55</v>
      </c>
      <c r="K10" s="6">
        <v>275</v>
      </c>
      <c r="L10" s="6">
        <v>0</v>
      </c>
      <c r="M10" s="6">
        <v>0</v>
      </c>
      <c r="N10" s="6">
        <v>4</v>
      </c>
      <c r="O10" s="6">
        <v>2</v>
      </c>
      <c r="P10" s="6">
        <f>SUM(C10:O10)</f>
        <v>348</v>
      </c>
    </row>
    <row r="11" spans="1:16">
      <c r="A11" s="31" t="s">
        <v>49</v>
      </c>
      <c r="B11" s="31"/>
      <c r="C11" s="9">
        <v>434</v>
      </c>
      <c r="D11" s="9">
        <v>172</v>
      </c>
      <c r="E11" s="6">
        <v>0</v>
      </c>
      <c r="F11" s="6">
        <v>0</v>
      </c>
      <c r="G11" s="6">
        <v>4160</v>
      </c>
      <c r="H11" s="6">
        <v>0</v>
      </c>
      <c r="I11" s="6">
        <v>0</v>
      </c>
      <c r="J11" s="6">
        <v>4056</v>
      </c>
      <c r="K11" s="6">
        <v>1256</v>
      </c>
      <c r="L11" s="6">
        <v>411</v>
      </c>
      <c r="M11" s="6">
        <v>0</v>
      </c>
      <c r="N11" s="6">
        <v>12</v>
      </c>
      <c r="O11" s="6">
        <v>1915</v>
      </c>
      <c r="P11" s="6">
        <f>SUM(C11:O11)</f>
        <v>12416</v>
      </c>
    </row>
    <row r="12" spans="1:16">
      <c r="A12" s="31" t="s">
        <v>50</v>
      </c>
      <c r="B12" s="31"/>
      <c r="C12" s="9">
        <v>0</v>
      </c>
      <c r="D12" s="9">
        <v>4</v>
      </c>
      <c r="E12" s="6">
        <v>0</v>
      </c>
      <c r="F12" s="6">
        <v>0</v>
      </c>
      <c r="G12" s="6">
        <v>2</v>
      </c>
      <c r="H12" s="6">
        <v>0</v>
      </c>
      <c r="I12" s="6">
        <v>3</v>
      </c>
      <c r="J12" s="6">
        <v>0</v>
      </c>
      <c r="K12" s="6">
        <v>29</v>
      </c>
      <c r="L12" s="6">
        <v>0</v>
      </c>
      <c r="M12" s="6">
        <v>0</v>
      </c>
      <c r="N12" s="6">
        <v>0</v>
      </c>
      <c r="O12" s="6">
        <v>0</v>
      </c>
      <c r="P12" s="6">
        <f t="shared" si="0"/>
        <v>38</v>
      </c>
    </row>
    <row r="13" spans="1:16">
      <c r="A13" s="31" t="s">
        <v>51</v>
      </c>
      <c r="B13" s="31"/>
      <c r="C13" s="9">
        <v>0</v>
      </c>
      <c r="D13" s="9">
        <v>129</v>
      </c>
      <c r="E13" s="6">
        <v>0</v>
      </c>
      <c r="F13" s="6">
        <v>0</v>
      </c>
      <c r="G13" s="6">
        <v>4788</v>
      </c>
      <c r="H13" s="6">
        <v>75</v>
      </c>
      <c r="I13" s="6">
        <v>354</v>
      </c>
      <c r="J13" s="6">
        <v>801</v>
      </c>
      <c r="K13" s="6">
        <v>208</v>
      </c>
      <c r="L13" s="6">
        <v>16</v>
      </c>
      <c r="M13" s="6">
        <v>15</v>
      </c>
      <c r="N13" s="6">
        <v>0</v>
      </c>
      <c r="O13" s="6">
        <v>0</v>
      </c>
      <c r="P13" s="6">
        <f t="shared" si="0"/>
        <v>6386</v>
      </c>
    </row>
    <row r="14" spans="1:16">
      <c r="A14" s="31" t="s">
        <v>52</v>
      </c>
      <c r="B14" s="31"/>
      <c r="C14" s="9">
        <v>1309</v>
      </c>
      <c r="D14" s="9">
        <v>889</v>
      </c>
      <c r="E14" s="6">
        <v>0</v>
      </c>
      <c r="F14" s="6">
        <v>43</v>
      </c>
      <c r="G14" s="6">
        <v>2622</v>
      </c>
      <c r="H14" s="6">
        <v>1047</v>
      </c>
      <c r="I14" s="6">
        <v>987</v>
      </c>
      <c r="J14" s="6">
        <v>173</v>
      </c>
      <c r="K14" s="6">
        <v>172</v>
      </c>
      <c r="L14" s="6">
        <v>518</v>
      </c>
      <c r="M14" s="6">
        <v>35</v>
      </c>
      <c r="N14" s="6">
        <v>386</v>
      </c>
      <c r="O14" s="6">
        <v>2279</v>
      </c>
      <c r="P14" s="6">
        <f t="shared" si="0"/>
        <v>10460</v>
      </c>
    </row>
    <row r="15" spans="1:16">
      <c r="A15" s="31" t="s">
        <v>53</v>
      </c>
      <c r="B15" s="31"/>
      <c r="C15" s="9">
        <v>435</v>
      </c>
      <c r="D15" s="9">
        <v>4486</v>
      </c>
      <c r="E15" s="6">
        <v>0</v>
      </c>
      <c r="F15" s="6">
        <v>28</v>
      </c>
      <c r="G15" s="6">
        <v>825</v>
      </c>
      <c r="H15" s="6">
        <v>250</v>
      </c>
      <c r="I15" s="6">
        <v>4457</v>
      </c>
      <c r="J15" s="6">
        <v>1</v>
      </c>
      <c r="K15" s="6">
        <v>2447</v>
      </c>
      <c r="L15" s="6">
        <v>813</v>
      </c>
      <c r="M15" s="6">
        <v>150</v>
      </c>
      <c r="N15" s="6">
        <v>435</v>
      </c>
      <c r="O15" s="6">
        <v>135</v>
      </c>
      <c r="P15" s="6">
        <f>SUM(C15:O15)</f>
        <v>14462</v>
      </c>
    </row>
    <row r="16" spans="1:16">
      <c r="A16" s="31" t="s">
        <v>54</v>
      </c>
      <c r="B16" s="31"/>
      <c r="C16" s="9">
        <v>223</v>
      </c>
      <c r="D16" s="9">
        <v>2189</v>
      </c>
      <c r="E16" s="6">
        <v>165</v>
      </c>
      <c r="F16" s="6">
        <v>43</v>
      </c>
      <c r="G16" s="6">
        <v>314</v>
      </c>
      <c r="H16" s="6">
        <v>223</v>
      </c>
      <c r="I16" s="6">
        <v>6261</v>
      </c>
      <c r="J16" s="6">
        <v>179</v>
      </c>
      <c r="K16" s="6">
        <v>731</v>
      </c>
      <c r="L16" s="6">
        <v>444</v>
      </c>
      <c r="M16" s="6">
        <v>79</v>
      </c>
      <c r="N16" s="6">
        <v>75</v>
      </c>
      <c r="O16" s="6">
        <v>173</v>
      </c>
      <c r="P16" s="6">
        <f t="shared" si="0"/>
        <v>11099</v>
      </c>
    </row>
    <row r="17" spans="1:16" s="23" customFormat="1">
      <c r="A17" s="135" t="s">
        <v>55</v>
      </c>
      <c r="B17" s="135"/>
      <c r="C17" s="136">
        <v>15017</v>
      </c>
      <c r="D17" s="136">
        <v>12597</v>
      </c>
      <c r="E17" s="6">
        <v>0</v>
      </c>
      <c r="F17" s="6">
        <v>4183</v>
      </c>
      <c r="G17" s="6">
        <v>156635</v>
      </c>
      <c r="H17" s="6">
        <v>28957</v>
      </c>
      <c r="I17" s="6">
        <v>13107</v>
      </c>
      <c r="J17" s="6">
        <v>19310</v>
      </c>
      <c r="K17" s="6">
        <v>7106</v>
      </c>
      <c r="L17" s="6">
        <v>3888</v>
      </c>
      <c r="M17" s="6">
        <v>2409</v>
      </c>
      <c r="N17" s="6">
        <v>8874</v>
      </c>
      <c r="O17" s="6">
        <v>12776</v>
      </c>
      <c r="P17" s="6">
        <f t="shared" si="0"/>
        <v>284859</v>
      </c>
    </row>
    <row r="18" spans="1:16" s="23" customFormat="1">
      <c r="A18" s="135" t="s">
        <v>56</v>
      </c>
      <c r="B18" s="135"/>
      <c r="C18" s="136">
        <v>158241</v>
      </c>
      <c r="D18" s="136">
        <v>15312</v>
      </c>
      <c r="E18" s="6">
        <v>54</v>
      </c>
      <c r="F18" s="6">
        <v>5366</v>
      </c>
      <c r="G18" s="6">
        <v>82431</v>
      </c>
      <c r="H18" s="6">
        <v>15547</v>
      </c>
      <c r="I18" s="6">
        <v>48918</v>
      </c>
      <c r="J18" s="6">
        <v>27571</v>
      </c>
      <c r="K18" s="6">
        <v>4459</v>
      </c>
      <c r="L18" s="6">
        <v>79941</v>
      </c>
      <c r="M18" s="6">
        <v>8549</v>
      </c>
      <c r="N18" s="6">
        <v>4420</v>
      </c>
      <c r="O18" s="6">
        <v>137550</v>
      </c>
      <c r="P18" s="6">
        <f>SUM(C18:O18)</f>
        <v>588359</v>
      </c>
    </row>
    <row r="19" spans="1:16" s="23" customFormat="1">
      <c r="A19" s="135" t="s">
        <v>57</v>
      </c>
      <c r="B19" s="135"/>
      <c r="C19" s="136">
        <v>464</v>
      </c>
      <c r="D19" s="136">
        <v>48</v>
      </c>
      <c r="E19" s="136">
        <v>0</v>
      </c>
      <c r="F19" s="136">
        <v>27</v>
      </c>
      <c r="G19" s="136">
        <v>144</v>
      </c>
      <c r="H19" s="136">
        <v>42</v>
      </c>
      <c r="I19" s="136">
        <v>86</v>
      </c>
      <c r="J19" s="136">
        <v>131</v>
      </c>
      <c r="K19" s="136">
        <v>14</v>
      </c>
      <c r="L19" s="136">
        <v>337</v>
      </c>
      <c r="M19" s="136">
        <v>3</v>
      </c>
      <c r="N19" s="136">
        <v>16</v>
      </c>
      <c r="O19" s="136">
        <v>182</v>
      </c>
      <c r="P19" s="6">
        <f>SUM(C19:O19)</f>
        <v>1494</v>
      </c>
    </row>
    <row r="20" spans="1:16">
      <c r="A20" s="31" t="s">
        <v>58</v>
      </c>
      <c r="B20" s="31"/>
      <c r="C20" s="9">
        <v>96</v>
      </c>
      <c r="D20" s="9">
        <v>11</v>
      </c>
      <c r="E20" s="6">
        <v>0</v>
      </c>
      <c r="F20" s="6">
        <v>53</v>
      </c>
      <c r="G20" s="6">
        <v>91</v>
      </c>
      <c r="H20" s="6">
        <v>232</v>
      </c>
      <c r="I20" s="6">
        <v>564</v>
      </c>
      <c r="J20" s="6">
        <v>322</v>
      </c>
      <c r="K20" s="6">
        <v>0</v>
      </c>
      <c r="L20" s="6">
        <v>154</v>
      </c>
      <c r="M20" s="6">
        <v>40</v>
      </c>
      <c r="N20" s="6">
        <v>14</v>
      </c>
      <c r="O20" s="6">
        <v>138</v>
      </c>
      <c r="P20" s="6">
        <f t="shared" si="0"/>
        <v>1715</v>
      </c>
    </row>
    <row r="21" spans="1:16">
      <c r="A21" s="31" t="s">
        <v>59</v>
      </c>
      <c r="B21" s="31"/>
      <c r="C21" s="9">
        <v>248</v>
      </c>
      <c r="D21" s="9">
        <v>639</v>
      </c>
      <c r="E21" s="6">
        <v>7</v>
      </c>
      <c r="F21" s="6">
        <v>127</v>
      </c>
      <c r="G21" s="6">
        <v>1454</v>
      </c>
      <c r="H21" s="6">
        <v>597</v>
      </c>
      <c r="I21" s="6">
        <v>1215</v>
      </c>
      <c r="J21" s="6">
        <v>700</v>
      </c>
      <c r="K21" s="6">
        <v>179</v>
      </c>
      <c r="L21" s="6">
        <v>60</v>
      </c>
      <c r="M21" s="6">
        <v>15</v>
      </c>
      <c r="N21" s="6">
        <v>52</v>
      </c>
      <c r="O21" s="6">
        <v>133</v>
      </c>
      <c r="P21" s="6">
        <f t="shared" si="0"/>
        <v>5426</v>
      </c>
    </row>
    <row r="22" spans="1:16">
      <c r="A22" s="31" t="s">
        <v>60</v>
      </c>
      <c r="B22" s="31"/>
      <c r="C22" s="9">
        <v>483</v>
      </c>
      <c r="D22" s="9">
        <v>1771</v>
      </c>
      <c r="E22" s="6">
        <v>0</v>
      </c>
      <c r="F22" s="6">
        <v>537</v>
      </c>
      <c r="G22" s="6">
        <v>1622</v>
      </c>
      <c r="H22" s="6">
        <v>1346</v>
      </c>
      <c r="I22" s="6">
        <v>11320</v>
      </c>
      <c r="J22" s="6">
        <v>5431</v>
      </c>
      <c r="K22" s="6">
        <v>609</v>
      </c>
      <c r="L22" s="6">
        <v>777</v>
      </c>
      <c r="M22" s="6">
        <v>144</v>
      </c>
      <c r="N22" s="6">
        <v>272</v>
      </c>
      <c r="O22" s="6">
        <v>1835</v>
      </c>
      <c r="P22" s="6">
        <f t="shared" si="0"/>
        <v>26147</v>
      </c>
    </row>
    <row r="23" spans="1:16">
      <c r="A23" s="31" t="s">
        <v>61</v>
      </c>
      <c r="B23" s="31"/>
      <c r="C23" s="9">
        <v>0</v>
      </c>
      <c r="D23" s="9">
        <v>4</v>
      </c>
      <c r="E23" s="6">
        <v>0</v>
      </c>
      <c r="F23" s="6">
        <v>62</v>
      </c>
      <c r="G23" s="6">
        <v>0</v>
      </c>
      <c r="H23" s="6">
        <v>3</v>
      </c>
      <c r="I23" s="6">
        <v>67</v>
      </c>
      <c r="J23" s="6">
        <v>7</v>
      </c>
      <c r="K23" s="6">
        <v>24</v>
      </c>
      <c r="L23" s="6">
        <v>2</v>
      </c>
      <c r="M23" s="6">
        <v>1</v>
      </c>
      <c r="N23" s="6">
        <v>9</v>
      </c>
      <c r="O23" s="6">
        <v>26</v>
      </c>
      <c r="P23" s="6">
        <f t="shared" si="0"/>
        <v>205</v>
      </c>
    </row>
    <row r="24" spans="1:16">
      <c r="A24" s="31" t="s">
        <v>62</v>
      </c>
      <c r="B24" s="31"/>
      <c r="C24" s="9">
        <v>585</v>
      </c>
      <c r="D24" s="9">
        <v>810</v>
      </c>
      <c r="E24" s="6">
        <v>0</v>
      </c>
      <c r="F24" s="6">
        <v>735</v>
      </c>
      <c r="G24" s="6">
        <v>1146</v>
      </c>
      <c r="H24" s="6">
        <v>2328</v>
      </c>
      <c r="I24" s="6">
        <v>15627</v>
      </c>
      <c r="J24" s="6">
        <v>4109</v>
      </c>
      <c r="K24" s="6">
        <v>701</v>
      </c>
      <c r="L24" s="6">
        <v>540</v>
      </c>
      <c r="M24" s="6">
        <v>345</v>
      </c>
      <c r="N24" s="6">
        <v>580</v>
      </c>
      <c r="O24" s="6">
        <v>1461</v>
      </c>
      <c r="P24" s="6">
        <f t="shared" si="0"/>
        <v>28967</v>
      </c>
    </row>
    <row r="25" spans="1:16">
      <c r="A25" s="31" t="s">
        <v>63</v>
      </c>
      <c r="B25" s="31"/>
      <c r="C25" s="9">
        <v>1513</v>
      </c>
      <c r="D25" s="9">
        <v>266</v>
      </c>
      <c r="E25" s="6">
        <v>0</v>
      </c>
      <c r="F25" s="6">
        <v>109</v>
      </c>
      <c r="G25" s="6">
        <v>1588</v>
      </c>
      <c r="H25" s="6">
        <v>478</v>
      </c>
      <c r="I25" s="6">
        <v>591</v>
      </c>
      <c r="J25" s="6">
        <v>21210</v>
      </c>
      <c r="K25" s="6">
        <v>106</v>
      </c>
      <c r="L25" s="6">
        <v>743</v>
      </c>
      <c r="M25" s="6">
        <v>139</v>
      </c>
      <c r="N25" s="6">
        <v>56</v>
      </c>
      <c r="O25" s="6">
        <v>1475</v>
      </c>
      <c r="P25" s="6">
        <f t="shared" si="0"/>
        <v>28274</v>
      </c>
    </row>
    <row r="26" spans="1:16">
      <c r="A26" s="31" t="s">
        <v>64</v>
      </c>
      <c r="B26" s="31"/>
      <c r="C26" s="9">
        <v>10</v>
      </c>
      <c r="D26" s="9">
        <v>12</v>
      </c>
      <c r="E26" s="6">
        <v>4</v>
      </c>
      <c r="F26" s="6">
        <v>10</v>
      </c>
      <c r="G26" s="6">
        <v>3</v>
      </c>
      <c r="H26" s="6">
        <v>18</v>
      </c>
      <c r="I26" s="6">
        <v>17</v>
      </c>
      <c r="J26" s="6">
        <v>0</v>
      </c>
      <c r="K26" s="6">
        <v>30</v>
      </c>
      <c r="L26" s="6">
        <v>6</v>
      </c>
      <c r="M26" s="6">
        <v>10</v>
      </c>
      <c r="N26" s="6">
        <v>52</v>
      </c>
      <c r="O26" s="6">
        <v>5</v>
      </c>
      <c r="P26" s="6">
        <f t="shared" si="0"/>
        <v>177</v>
      </c>
    </row>
    <row r="27" spans="1:16">
      <c r="A27" s="32" t="s">
        <v>65</v>
      </c>
      <c r="B27" s="32"/>
      <c r="C27" s="10">
        <v>262</v>
      </c>
      <c r="D27" s="10">
        <v>179</v>
      </c>
      <c r="E27" s="7">
        <v>0</v>
      </c>
      <c r="F27" s="7">
        <v>124</v>
      </c>
      <c r="G27" s="7">
        <v>851</v>
      </c>
      <c r="H27" s="7">
        <v>169</v>
      </c>
      <c r="I27" s="7">
        <v>599</v>
      </c>
      <c r="J27" s="7">
        <v>572</v>
      </c>
      <c r="K27" s="7">
        <v>145</v>
      </c>
      <c r="L27" s="7">
        <v>195</v>
      </c>
      <c r="M27" s="7">
        <v>15</v>
      </c>
      <c r="N27" s="7">
        <v>29</v>
      </c>
      <c r="O27" s="7">
        <v>143</v>
      </c>
      <c r="P27" s="7">
        <f t="shared" si="0"/>
        <v>3283</v>
      </c>
    </row>
    <row r="28" spans="1:16" s="28" customFormat="1">
      <c r="A28" s="33" t="s">
        <v>31</v>
      </c>
      <c r="B28" s="33"/>
      <c r="C28" s="29">
        <v>0</v>
      </c>
      <c r="D28" s="29">
        <v>0</v>
      </c>
      <c r="E28" s="29">
        <v>0</v>
      </c>
      <c r="F28" s="29">
        <v>0</v>
      </c>
      <c r="G28" s="29">
        <v>0</v>
      </c>
      <c r="H28" s="29">
        <v>0</v>
      </c>
      <c r="I28" s="29">
        <v>0</v>
      </c>
      <c r="J28" s="29">
        <v>0</v>
      </c>
      <c r="K28" s="29">
        <v>0</v>
      </c>
      <c r="L28" s="29">
        <v>0</v>
      </c>
      <c r="M28" s="29">
        <v>0</v>
      </c>
      <c r="N28" s="29">
        <v>0</v>
      </c>
      <c r="O28" s="29">
        <v>0</v>
      </c>
      <c r="P28" s="29">
        <f t="shared" si="0"/>
        <v>0</v>
      </c>
    </row>
    <row r="29" spans="1:16" s="28" customFormat="1">
      <c r="A29" s="33" t="s">
        <v>32</v>
      </c>
      <c r="B29" s="33"/>
      <c r="C29" s="29">
        <v>0</v>
      </c>
      <c r="D29" s="29">
        <v>0</v>
      </c>
      <c r="E29" s="29">
        <v>0</v>
      </c>
      <c r="F29" s="29">
        <v>0</v>
      </c>
      <c r="G29" s="29">
        <v>0</v>
      </c>
      <c r="H29" s="29">
        <v>0</v>
      </c>
      <c r="I29" s="29">
        <v>0</v>
      </c>
      <c r="J29" s="29">
        <v>0</v>
      </c>
      <c r="K29" s="29">
        <v>0</v>
      </c>
      <c r="L29" s="29">
        <v>0</v>
      </c>
      <c r="M29" s="29">
        <v>0</v>
      </c>
      <c r="N29" s="29">
        <v>0</v>
      </c>
      <c r="O29" s="29">
        <v>0</v>
      </c>
      <c r="P29" s="29">
        <f t="shared" si="0"/>
        <v>0</v>
      </c>
    </row>
    <row r="30" spans="1:16" s="28" customFormat="1">
      <c r="A30" s="33" t="s">
        <v>33</v>
      </c>
      <c r="B30" s="33"/>
      <c r="C30" s="29">
        <v>0</v>
      </c>
      <c r="D30" s="29">
        <v>0</v>
      </c>
      <c r="E30" s="29">
        <v>0</v>
      </c>
      <c r="F30" s="29">
        <v>0</v>
      </c>
      <c r="G30" s="29">
        <v>0</v>
      </c>
      <c r="H30" s="29">
        <v>0</v>
      </c>
      <c r="I30" s="29">
        <v>0</v>
      </c>
      <c r="J30" s="29">
        <v>0</v>
      </c>
      <c r="K30" s="29">
        <v>0</v>
      </c>
      <c r="L30" s="29">
        <v>0</v>
      </c>
      <c r="M30" s="29">
        <v>0</v>
      </c>
      <c r="N30" s="29">
        <v>0</v>
      </c>
      <c r="O30" s="29">
        <v>0</v>
      </c>
      <c r="P30" s="29">
        <f t="shared" si="0"/>
        <v>0</v>
      </c>
    </row>
    <row r="31" spans="1:16">
      <c r="P31" s="3"/>
    </row>
    <row r="32" spans="1:16">
      <c r="A32" s="35" t="s">
        <v>171</v>
      </c>
      <c r="B32" s="35"/>
      <c r="C32" s="36">
        <f>SUM(C6:C30)</f>
        <v>187976</v>
      </c>
      <c r="D32" s="36">
        <f t="shared" ref="D32:O32" si="1">SUM(D6:D30)</f>
        <v>59883</v>
      </c>
      <c r="E32" s="36">
        <f t="shared" si="1"/>
        <v>696</v>
      </c>
      <c r="F32" s="36">
        <f t="shared" si="1"/>
        <v>18744</v>
      </c>
      <c r="G32" s="36">
        <f t="shared" si="1"/>
        <v>293495</v>
      </c>
      <c r="H32" s="36">
        <f t="shared" si="1"/>
        <v>66076</v>
      </c>
      <c r="I32" s="36">
        <f t="shared" si="1"/>
        <v>127661</v>
      </c>
      <c r="J32" s="36">
        <f t="shared" si="1"/>
        <v>105577</v>
      </c>
      <c r="K32" s="36">
        <f t="shared" si="1"/>
        <v>35732</v>
      </c>
      <c r="L32" s="36">
        <f t="shared" si="1"/>
        <v>97759</v>
      </c>
      <c r="M32" s="36">
        <f t="shared" si="1"/>
        <v>15366</v>
      </c>
      <c r="N32" s="36">
        <f t="shared" si="1"/>
        <v>25526</v>
      </c>
      <c r="O32" s="36">
        <f t="shared" si="1"/>
        <v>178107</v>
      </c>
      <c r="P32" s="36">
        <f>SUM(P6:P30)</f>
        <v>1212598</v>
      </c>
    </row>
  </sheetData>
  <sheetProtection algorithmName="SHA-512" hashValue="uzYtx5DlWMdjBimvOx/Fq+1iRc/tp/6/65hf/OFddKhtIOhCszFrJzVH4KAwOyxpmmxzIz7Ecey2/1L/vNcATQ==" saltValue="c3CdnlFSl9mGYF66vJfoSg==" spinCount="100000" sheet="1" objects="1" scenarios="1"/>
  <pageMargins left="0.7" right="0.7" top="0.75" bottom="0.75" header="0.3" footer="0.3"/>
  <ignoredErrors>
    <ignoredError sqref="P28:P30" unlockedFormula="1"/>
  </ignoredErrors>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681E9-CDFC-42F0-A01D-D1BA15463BAE}">
  <sheetPr codeName="Sheet7"/>
  <dimension ref="A1:H33"/>
  <sheetViews>
    <sheetView topLeftCell="A15" workbookViewId="0">
      <selection activeCell="D23" sqref="D23"/>
    </sheetView>
  </sheetViews>
  <sheetFormatPr defaultRowHeight="15"/>
  <cols>
    <col min="1" max="1" width="2.85546875" customWidth="1"/>
    <col min="2" max="2" width="14.5703125" customWidth="1"/>
    <col min="3" max="3" width="27.28515625" style="141" bestFit="1" customWidth="1"/>
    <col min="4" max="4" width="132.85546875" customWidth="1"/>
    <col min="5" max="6" width="12.7109375" style="37" customWidth="1"/>
  </cols>
  <sheetData>
    <row r="1" spans="1:8" ht="26.25">
      <c r="A1" s="59" t="s">
        <v>172</v>
      </c>
    </row>
    <row r="3" spans="1:8">
      <c r="B3" s="76" t="s">
        <v>41</v>
      </c>
      <c r="C3" s="142" t="s">
        <v>42</v>
      </c>
      <c r="D3" s="77" t="s">
        <v>173</v>
      </c>
      <c r="E3" s="39"/>
      <c r="F3" s="40"/>
    </row>
    <row r="4" spans="1:8" ht="105">
      <c r="B4" s="384" t="s">
        <v>66</v>
      </c>
      <c r="C4" s="143" t="s">
        <v>174</v>
      </c>
      <c r="D4" s="80" t="s">
        <v>175</v>
      </c>
      <c r="E4" s="75"/>
      <c r="F4" s="75"/>
    </row>
    <row r="5" spans="1:8" ht="45.75" customHeight="1">
      <c r="B5" s="385"/>
      <c r="C5" s="143" t="s">
        <v>176</v>
      </c>
      <c r="D5" s="80" t="s">
        <v>177</v>
      </c>
      <c r="E5" s="75"/>
      <c r="F5" s="75"/>
    </row>
    <row r="6" spans="1:8" s="14" customFormat="1">
      <c r="B6" s="385"/>
      <c r="C6" s="144" t="s">
        <v>75</v>
      </c>
      <c r="D6" s="251" t="s">
        <v>178</v>
      </c>
      <c r="E6" s="155"/>
      <c r="F6" s="155"/>
    </row>
    <row r="7" spans="1:8" s="23" customFormat="1" ht="60">
      <c r="B7" s="385"/>
      <c r="C7" s="156" t="s">
        <v>77</v>
      </c>
      <c r="D7" s="80" t="s">
        <v>179</v>
      </c>
      <c r="E7" s="172" t="s">
        <v>180</v>
      </c>
      <c r="F7" s="304" t="s">
        <v>181</v>
      </c>
    </row>
    <row r="8" spans="1:8">
      <c r="B8" s="76" t="s">
        <v>41</v>
      </c>
      <c r="C8" s="142" t="s">
        <v>42</v>
      </c>
      <c r="D8" s="77" t="s">
        <v>173</v>
      </c>
      <c r="E8" s="39"/>
      <c r="F8" s="40"/>
    </row>
    <row r="9" spans="1:8" ht="45">
      <c r="B9" s="382" t="s">
        <v>79</v>
      </c>
      <c r="C9" s="144" t="s">
        <v>80</v>
      </c>
      <c r="D9" s="140" t="s">
        <v>182</v>
      </c>
    </row>
    <row r="10" spans="1:8" ht="45">
      <c r="B10" s="383"/>
      <c r="C10" s="144" t="s">
        <v>82</v>
      </c>
      <c r="D10" s="173" t="s">
        <v>183</v>
      </c>
    </row>
    <row r="11" spans="1:8" s="14" customFormat="1" ht="45">
      <c r="B11" s="383"/>
      <c r="C11" s="144" t="s">
        <v>184</v>
      </c>
      <c r="D11" s="140" t="s">
        <v>185</v>
      </c>
      <c r="E11" s="125"/>
      <c r="F11" s="125"/>
    </row>
    <row r="12" spans="1:8" ht="33.75" customHeight="1">
      <c r="B12" s="383"/>
      <c r="C12" s="145" t="s">
        <v>120</v>
      </c>
      <c r="D12" s="314" t="s">
        <v>186</v>
      </c>
      <c r="E12" s="41" t="s">
        <v>180</v>
      </c>
      <c r="F12" s="42"/>
    </row>
    <row r="13" spans="1:8" ht="45">
      <c r="B13" s="383"/>
      <c r="C13" s="169" t="s">
        <v>187</v>
      </c>
      <c r="D13" s="157" t="s">
        <v>188</v>
      </c>
      <c r="E13" s="42" t="s">
        <v>180</v>
      </c>
      <c r="F13" s="42" t="s">
        <v>181</v>
      </c>
    </row>
    <row r="14" spans="1:8" ht="45">
      <c r="B14" s="383"/>
      <c r="C14" s="146" t="s">
        <v>87</v>
      </c>
      <c r="D14" s="79" t="s">
        <v>189</v>
      </c>
      <c r="E14" s="42" t="s">
        <v>180</v>
      </c>
      <c r="F14" s="42" t="s">
        <v>181</v>
      </c>
    </row>
    <row r="15" spans="1:8" ht="75">
      <c r="B15" s="383"/>
      <c r="C15" s="144" t="s">
        <v>88</v>
      </c>
      <c r="D15" s="157" t="s">
        <v>190</v>
      </c>
      <c r="H15" s="153"/>
    </row>
    <row r="16" spans="1:8" ht="30">
      <c r="B16" s="383"/>
      <c r="C16" s="146" t="s">
        <v>191</v>
      </c>
      <c r="D16" s="79" t="s">
        <v>192</v>
      </c>
      <c r="E16" s="42" t="s">
        <v>180</v>
      </c>
      <c r="F16" s="42" t="s">
        <v>181</v>
      </c>
    </row>
    <row r="17" spans="2:6" ht="45">
      <c r="B17" s="383"/>
      <c r="C17" s="146" t="s">
        <v>193</v>
      </c>
      <c r="D17" s="79" t="s">
        <v>194</v>
      </c>
      <c r="E17" s="42" t="s">
        <v>180</v>
      </c>
      <c r="F17" s="42" t="s">
        <v>181</v>
      </c>
    </row>
    <row r="18" spans="2:6" ht="30">
      <c r="B18" s="383"/>
      <c r="C18" s="147" t="s">
        <v>92</v>
      </c>
      <c r="D18" s="80" t="s">
        <v>195</v>
      </c>
      <c r="E18" s="154" t="s">
        <v>180</v>
      </c>
      <c r="F18" s="42"/>
    </row>
    <row r="19" spans="2:6" s="23" customFormat="1" ht="60">
      <c r="B19" s="383"/>
      <c r="C19" s="146" t="s">
        <v>196</v>
      </c>
      <c r="D19" s="79" t="s">
        <v>197</v>
      </c>
      <c r="E19" s="43"/>
      <c r="F19" s="167"/>
    </row>
    <row r="20" spans="2:6">
      <c r="B20" s="76" t="s">
        <v>41</v>
      </c>
      <c r="C20" s="142" t="s">
        <v>42</v>
      </c>
      <c r="D20" s="77" t="s">
        <v>173</v>
      </c>
      <c r="E20" s="39"/>
      <c r="F20" s="39"/>
    </row>
    <row r="21" spans="2:6" ht="45">
      <c r="B21" s="386" t="s">
        <v>95</v>
      </c>
      <c r="C21" s="146" t="s">
        <v>198</v>
      </c>
      <c r="D21" s="79" t="s">
        <v>199</v>
      </c>
      <c r="E21" s="171" t="s">
        <v>180</v>
      </c>
      <c r="F21" s="42"/>
    </row>
    <row r="22" spans="2:6" ht="30">
      <c r="B22" s="387"/>
      <c r="C22" s="145" t="s">
        <v>200</v>
      </c>
      <c r="D22" s="315" t="s">
        <v>201</v>
      </c>
      <c r="E22" s="174" t="s">
        <v>180</v>
      </c>
      <c r="F22" s="44"/>
    </row>
    <row r="23" spans="2:6" ht="45">
      <c r="B23" s="387"/>
      <c r="C23" s="146" t="s">
        <v>202</v>
      </c>
      <c r="D23" s="79" t="s">
        <v>203</v>
      </c>
      <c r="E23" s="171" t="s">
        <v>180</v>
      </c>
      <c r="F23" s="42"/>
    </row>
    <row r="24" spans="2:6" ht="30">
      <c r="B24" s="387"/>
      <c r="C24" s="146" t="s">
        <v>204</v>
      </c>
      <c r="D24" s="79" t="s">
        <v>205</v>
      </c>
      <c r="E24" s="42" t="s">
        <v>180</v>
      </c>
      <c r="F24" s="42" t="s">
        <v>181</v>
      </c>
    </row>
    <row r="25" spans="2:6" ht="30">
      <c r="B25" s="387"/>
      <c r="C25" s="146" t="s">
        <v>206</v>
      </c>
      <c r="D25" s="79" t="s">
        <v>207</v>
      </c>
      <c r="E25" s="171" t="s">
        <v>180</v>
      </c>
      <c r="F25" s="42"/>
    </row>
    <row r="26" spans="2:6" ht="30">
      <c r="B26" s="387"/>
      <c r="C26" s="148" t="s">
        <v>208</v>
      </c>
      <c r="D26" s="316" t="s">
        <v>209</v>
      </c>
      <c r="E26" s="45" t="s">
        <v>180</v>
      </c>
      <c r="F26" s="46" t="s">
        <v>181</v>
      </c>
    </row>
    <row r="27" spans="2:6">
      <c r="B27" s="78"/>
      <c r="C27" s="149"/>
      <c r="D27" s="78"/>
    </row>
    <row r="28" spans="2:6">
      <c r="B28" s="76" t="s">
        <v>210</v>
      </c>
      <c r="C28" s="150"/>
      <c r="D28" s="76"/>
      <c r="E28" s="38"/>
      <c r="F28" s="38"/>
    </row>
    <row r="29" spans="2:6" ht="60">
      <c r="B29" s="81"/>
      <c r="C29" s="151" t="s">
        <v>211</v>
      </c>
      <c r="D29" s="168" t="s">
        <v>212</v>
      </c>
      <c r="E29" s="47" t="s">
        <v>180</v>
      </c>
      <c r="F29" s="48"/>
    </row>
    <row r="30" spans="2:6">
      <c r="B30" s="78"/>
      <c r="C30" s="149"/>
      <c r="D30" s="78"/>
    </row>
    <row r="31" spans="2:6">
      <c r="B31" s="76" t="s">
        <v>213</v>
      </c>
      <c r="C31" s="150"/>
      <c r="D31" s="76"/>
      <c r="E31" s="38"/>
      <c r="F31" s="38"/>
    </row>
    <row r="32" spans="2:6">
      <c r="B32" s="81"/>
      <c r="C32" s="151" t="s">
        <v>170</v>
      </c>
      <c r="D32" s="82" t="s">
        <v>214</v>
      </c>
      <c r="E32" s="47" t="s">
        <v>180</v>
      </c>
      <c r="F32" s="48"/>
    </row>
    <row r="33" spans="3:4">
      <c r="C33" s="152"/>
      <c r="D33" s="49"/>
    </row>
  </sheetData>
  <mergeCells count="3">
    <mergeCell ref="B9:B19"/>
    <mergeCell ref="B4:B7"/>
    <mergeCell ref="B21:B26"/>
  </mergeCells>
  <hyperlinks>
    <hyperlink ref="E12" r:id="rId1" xr:uid="{024D148C-FE72-42D2-932F-8F050D0C09AA}"/>
    <hyperlink ref="E16" r:id="rId2" xr:uid="{D855077F-1B65-4733-9254-AF7BE5560D2A}"/>
    <hyperlink ref="E13" r:id="rId3" xr:uid="{B3EE8BA3-F267-4533-AA9B-6679D103B0AE}"/>
    <hyperlink ref="E24" r:id="rId4" xr:uid="{9E91275F-FBFB-4A1E-A94D-5C63A04AA1F4}"/>
    <hyperlink ref="E14" r:id="rId5" xr:uid="{8A864F3C-11E6-4FB7-9DA1-FA3353A9061B}"/>
    <hyperlink ref="E17" r:id="rId6" xr:uid="{42E2393E-E730-438F-9B03-1CD687DC4B5F}"/>
    <hyperlink ref="F26" r:id="rId7" xr:uid="{6E4CFFB4-0655-4131-B2A1-F63712390D8A}"/>
    <hyperlink ref="E26" r:id="rId8" xr:uid="{2FE2C15A-B101-49B3-98D5-5DDF107CC44B}"/>
    <hyperlink ref="E32" r:id="rId9" xr:uid="{DAAE858D-7D91-401F-BC68-982D8FC28BCB}"/>
    <hyperlink ref="F24" r:id="rId10" xr:uid="{74515D1F-D426-49E8-ADC9-B377D3B11469}"/>
    <hyperlink ref="F17" r:id="rId11" xr:uid="{7BD20B22-D467-43E1-B6BE-EF4AAEE15724}"/>
    <hyperlink ref="F13" r:id="rId12" xr:uid="{177C2885-F191-4796-8338-3B4453C2A69B}"/>
    <hyperlink ref="F14" r:id="rId13" xr:uid="{E5290130-A11E-4CF1-9A1F-2C18B3860819}"/>
    <hyperlink ref="F16" r:id="rId14" xr:uid="{8E0242FF-8B4B-46FF-9FC8-D3E38942E0CB}"/>
    <hyperlink ref="E18" r:id="rId15" xr:uid="{FFD74388-1E42-4A25-BA25-895B20932994}"/>
    <hyperlink ref="F7" r:id="rId16" xr:uid="{5DB4E05B-C847-42FC-A221-4FC56C13516E}"/>
    <hyperlink ref="E29" r:id="rId17" xr:uid="{344ACABD-204C-4EF5-A454-7D65A40E9CCD}"/>
    <hyperlink ref="E21" r:id="rId18" xr:uid="{30D3A321-536A-4406-A2AD-BC4B4C1B7502}"/>
    <hyperlink ref="E23" r:id="rId19" xr:uid="{60B690FD-1CCE-4691-9157-6055B520FACD}"/>
    <hyperlink ref="E7" r:id="rId20" xr:uid="{6E8A24F9-5281-4E6C-ABC8-153D5F40406B}"/>
    <hyperlink ref="E25" r:id="rId21" xr:uid="{69CCAF26-91A0-4CDE-8847-98F26257D5D7}"/>
    <hyperlink ref="E22" r:id="rId22" location=":~:text=A%20safe%20and%20healthy%20urban,safe%20management%20of%20contaminated%20land." xr:uid="{7AF995F3-3D99-48A7-9162-40664A94BC88}"/>
  </hyperlinks>
  <pageMargins left="0.7" right="0.7" top="0.75" bottom="0.75" header="0.3" footer="0.3"/>
  <legacyDrawing r:id="rId2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26249-7A32-40B8-B0E1-1919C16C4B68}">
  <sheetPr codeName="Sheet9"/>
  <dimension ref="A1:F28"/>
  <sheetViews>
    <sheetView zoomScale="120" zoomScaleNormal="120" workbookViewId="0">
      <selection activeCell="J7" sqref="J7"/>
    </sheetView>
  </sheetViews>
  <sheetFormatPr defaultRowHeight="15"/>
  <cols>
    <col min="1" max="1" width="4.42578125" customWidth="1"/>
    <col min="2" max="2" width="140.28515625" style="71" customWidth="1"/>
  </cols>
  <sheetData>
    <row r="1" spans="1:6" ht="26.25">
      <c r="A1" s="59" t="s">
        <v>215</v>
      </c>
      <c r="C1" s="141"/>
      <c r="E1" s="37"/>
      <c r="F1" s="37"/>
    </row>
    <row r="2" spans="1:6">
      <c r="A2" s="17"/>
      <c r="C2" s="141"/>
      <c r="E2" s="37"/>
      <c r="F2" s="37"/>
    </row>
    <row r="3" spans="1:6">
      <c r="B3" s="259" t="s">
        <v>216</v>
      </c>
      <c r="C3" s="141"/>
      <c r="E3" s="37"/>
      <c r="F3" s="37"/>
    </row>
    <row r="4" spans="1:6">
      <c r="B4" s="175" t="s">
        <v>217</v>
      </c>
      <c r="C4" s="141"/>
      <c r="E4" s="37"/>
      <c r="F4" s="37"/>
    </row>
    <row r="5" spans="1:6" ht="30">
      <c r="B5" s="175" t="s">
        <v>218</v>
      </c>
      <c r="C5" s="141"/>
      <c r="E5" s="37"/>
      <c r="F5" s="37"/>
    </row>
    <row r="6" spans="1:6" ht="45">
      <c r="B6" s="71" t="s">
        <v>219</v>
      </c>
      <c r="C6" s="141"/>
      <c r="E6" s="37"/>
      <c r="F6" s="37"/>
    </row>
    <row r="7" spans="1:6" ht="75">
      <c r="B7" s="71" t="s">
        <v>220</v>
      </c>
      <c r="C7" s="141"/>
      <c r="E7" s="37"/>
      <c r="F7" s="37"/>
    </row>
    <row r="8" spans="1:6">
      <c r="B8" s="259" t="s">
        <v>221</v>
      </c>
      <c r="C8" s="141"/>
      <c r="E8" s="37"/>
      <c r="F8" s="37"/>
    </row>
    <row r="9" spans="1:6">
      <c r="B9" s="259" t="s">
        <v>222</v>
      </c>
      <c r="C9" s="141"/>
      <c r="E9" s="37"/>
      <c r="F9" s="37"/>
    </row>
    <row r="10" spans="1:6" ht="45">
      <c r="B10" s="71" t="s">
        <v>223</v>
      </c>
      <c r="C10" s="141"/>
      <c r="E10" s="37"/>
      <c r="F10" s="37"/>
    </row>
    <row r="11" spans="1:6" ht="45">
      <c r="B11" s="175" t="s">
        <v>224</v>
      </c>
      <c r="C11" s="141"/>
      <c r="E11" s="37"/>
      <c r="F11" s="37"/>
    </row>
    <row r="12" spans="1:6" ht="30">
      <c r="B12" s="71" t="s">
        <v>225</v>
      </c>
      <c r="C12" s="141"/>
      <c r="E12" s="37"/>
      <c r="F12" s="37"/>
    </row>
    <row r="13" spans="1:6">
      <c r="B13" s="259" t="s">
        <v>226</v>
      </c>
      <c r="C13" s="141"/>
      <c r="E13" s="37"/>
      <c r="F13" s="37"/>
    </row>
    <row r="14" spans="1:6" ht="45">
      <c r="B14" s="259" t="s">
        <v>227</v>
      </c>
    </row>
    <row r="15" spans="1:6" ht="30">
      <c r="B15" s="71" t="s">
        <v>228</v>
      </c>
      <c r="C15" s="141"/>
      <c r="E15" s="37"/>
      <c r="F15" s="37"/>
    </row>
    <row r="16" spans="1:6" ht="30">
      <c r="B16" s="71" t="s">
        <v>229</v>
      </c>
    </row>
    <row r="17" spans="2:3">
      <c r="B17" s="71" t="s">
        <v>230</v>
      </c>
    </row>
    <row r="18" spans="2:3" ht="30">
      <c r="B18" s="71" t="s">
        <v>231</v>
      </c>
      <c r="C18" s="141"/>
    </row>
    <row r="19" spans="2:3" ht="30">
      <c r="B19" s="71" t="s">
        <v>232</v>
      </c>
    </row>
    <row r="20" spans="2:3" ht="60">
      <c r="B20" s="71" t="s">
        <v>233</v>
      </c>
    </row>
    <row r="21" spans="2:3" ht="45">
      <c r="B21" s="71" t="s">
        <v>234</v>
      </c>
    </row>
    <row r="22" spans="2:3" ht="45">
      <c r="B22" s="71" t="s">
        <v>235</v>
      </c>
    </row>
    <row r="23" spans="2:3" ht="30">
      <c r="B23" s="71" t="s">
        <v>236</v>
      </c>
    </row>
    <row r="24" spans="2:3">
      <c r="B24" s="259" t="s">
        <v>237</v>
      </c>
    </row>
    <row r="25" spans="2:3" ht="45">
      <c r="B25" s="71" t="s">
        <v>238</v>
      </c>
    </row>
    <row r="26" spans="2:3" ht="45">
      <c r="B26" s="71" t="s">
        <v>239</v>
      </c>
    </row>
    <row r="27" spans="2:3" ht="30">
      <c r="B27" s="71" t="s">
        <v>240</v>
      </c>
    </row>
    <row r="28" spans="2:3">
      <c r="B28" s="259" t="s">
        <v>241</v>
      </c>
    </row>
  </sheetData>
  <sortState xmlns:xlrd2="http://schemas.microsoft.com/office/spreadsheetml/2017/richdata2" ref="B3:B22">
    <sortCondition ref="B3:B22"/>
  </sortState>
  <hyperlinks>
    <hyperlink ref="B9" r:id="rId1" display="Dairy NZ (2016 - 2024). Economic Survey Data" xr:uid="{477B0DB9-39BA-4C32-8489-4D42B3FADC15}"/>
    <hyperlink ref="B3" r:id="rId2" display="Beef + Lamb NZ Farm Survey Data 2015 -- 2024" xr:uid="{7EF495CB-A1AA-4251-8DD3-53F1F04056C4}"/>
    <hyperlink ref="B24" r:id="rId3" xr:uid="{9AAEC98E-E8F0-4EBF-AAD5-1CA7192B3FF7}"/>
    <hyperlink ref="B28" r:id="rId4" display="Zespri (2025). Kiwiflier Dec 2025" xr:uid="{F3ECDA48-4AEB-48B9-8246-6650AF58B2EA}"/>
    <hyperlink ref="B13" r:id="rId5" xr:uid="{BE7E1050-F9D6-4BC5-880C-741A68310CC8}"/>
    <hyperlink ref="B14" r:id="rId6" display="Matheson, L; Djanibekov, U; Bird, B; Greenhalgh, S. 2018. Economic and contaminant loss impacts on farm and orchard systems of mitigation bundles to address sediment and other freshwater contaminants in the Rangitāiki and Kaituna-Pongakawa-Waitahanui water management areas. Final report, forming delivery for Milestone 2A, 2B, 2C &amp; 2D. Version 1.3. 109 pages." xr:uid="{465E34C3-8606-400C-98E0-84E05F67D5C7}"/>
    <hyperlink ref="B8" r:id="rId7" xr:uid="{DF93F2E5-9D5B-4A44-94D5-CB4268003750}"/>
  </hyperlinks>
  <pageMargins left="0.7" right="0.7" top="0.75" bottom="0.75" header="0.3" footer="0.3"/>
  <legacyDrawing r:id="rId8"/>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Excel" ma:contentTypeID="0x0101007C7594F3ADAF4B4880E6F739CCCAE51500397B27E84C55DC4F9F45CD50166DF71C" ma:contentTypeVersion="37" ma:contentTypeDescription="Create a new document." ma:contentTypeScope="" ma:versionID="c94fe5b0761c673eff07119980655ff5">
  <xsd:schema xmlns:xsd="http://www.w3.org/2001/XMLSchema" xmlns:xs="http://www.w3.org/2001/XMLSchema" xmlns:p="http://schemas.microsoft.com/office/2006/metadata/properties" xmlns:ns2="42a0bbc6-c0fa-435d-8112-78448e35fbf5" xmlns:ns3="4f9c820c-e7e2-444d-97ee-45f2b3485c1d" xmlns:ns4="15ffb055-6eb4-45a1-bc20-bf2ac0d420da" xmlns:ns5="725c79e5-42ce-4aa0-ac78-b6418001f0d2" xmlns:ns6="c91a514c-9034-4fa3-897a-8352025b26ed" targetNamespace="http://schemas.microsoft.com/office/2006/metadata/properties" ma:root="true" ma:fieldsID="95195d76316887e624650bf7794cdaf8" ns2:_="" ns3:_="" ns4:_="" ns5:_="" ns6:_="">
    <xsd:import namespace="42a0bbc6-c0fa-435d-8112-78448e35fbf5"/>
    <xsd:import namespace="4f9c820c-e7e2-444d-97ee-45f2b3485c1d"/>
    <xsd:import namespace="15ffb055-6eb4-45a1-bc20-bf2ac0d420da"/>
    <xsd:import namespace="725c79e5-42ce-4aa0-ac78-b6418001f0d2"/>
    <xsd:import namespace="c91a514c-9034-4fa3-897a-8352025b26ed"/>
    <xsd:element name="properties">
      <xsd:complexType>
        <xsd:sequence>
          <xsd:element name="documentManagement">
            <xsd:complexType>
              <xsd:all>
                <xsd:element ref="ns2:ObjectiveID" minOccurs="0"/>
                <xsd:element ref="ns3:DocumentType" minOccurs="0"/>
                <xsd:element ref="ns4:KeyWords" minOccurs="0"/>
                <xsd:element ref="ns3:Narrative" minOccurs="0"/>
                <xsd:element ref="ns4:SecurityClassification" minOccurs="0"/>
                <xsd:element ref="ns3:Subactivity" minOccurs="0"/>
                <xsd:element ref="ns3:Case" minOccurs="0"/>
                <xsd:element ref="ns3:RelatedPeople" minOccurs="0"/>
                <xsd:element ref="ns3:CategoryName" minOccurs="0"/>
                <xsd:element ref="ns3:CategoryValue" minOccurs="0"/>
                <xsd:element ref="ns3:BusinessValue" minOccurs="0"/>
                <xsd:element ref="ns3:FunctionGroup" minOccurs="0"/>
                <xsd:element ref="ns3:Function" minOccurs="0"/>
                <xsd:element ref="ns3:PRAType" minOccurs="0"/>
                <xsd:element ref="ns3:PRADate1" minOccurs="0"/>
                <xsd:element ref="ns3:PRADate2" minOccurs="0"/>
                <xsd:element ref="ns3:PRADate3" minOccurs="0"/>
                <xsd:element ref="ns3:PRADateDisposal" minOccurs="0"/>
                <xsd:element ref="ns3:PRADateTrigger" minOccurs="0"/>
                <xsd:element ref="ns3:PRAText1" minOccurs="0"/>
                <xsd:element ref="ns3:PRAText2" minOccurs="0"/>
                <xsd:element ref="ns3:PRAText3" minOccurs="0"/>
                <xsd:element ref="ns3:PRAText4" minOccurs="0"/>
                <xsd:element ref="ns3:PRAText5" minOccurs="0"/>
                <xsd:element ref="ns3:AggregationStatus" minOccurs="0"/>
                <xsd:element ref="ns3:Project" minOccurs="0"/>
                <xsd:element ref="ns3:Activity" minOccurs="0"/>
                <xsd:element ref="ns5:AggregationNarrative" minOccurs="0"/>
                <xsd:element ref="ns6:Channel" minOccurs="0"/>
                <xsd:element ref="ns6:Team" minOccurs="0"/>
                <xsd:element ref="ns6:Level2" minOccurs="0"/>
                <xsd:element ref="ns6:Level3" minOccurs="0"/>
                <xsd:element ref="ns6:Year" minOccurs="0"/>
                <xsd:element ref="ns4:HarmonieUIHidd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2a0bbc6-c0fa-435d-8112-78448e35fbf5" elementFormDefault="qualified">
    <xsd:import namespace="http://schemas.microsoft.com/office/2006/documentManagement/types"/>
    <xsd:import namespace="http://schemas.microsoft.com/office/infopath/2007/PartnerControls"/>
    <xsd:element name="ObjectiveID" ma:index="8" nillable="true" ma:displayName="Objective ID" ma:format="Dropdown" ma:internalName="ObjectiveID"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f9c820c-e7e2-444d-97ee-45f2b3485c1d" elementFormDefault="qualified">
    <xsd:import namespace="http://schemas.microsoft.com/office/2006/documentManagement/types"/>
    <xsd:import namespace="http://schemas.microsoft.com/office/infopath/2007/PartnerControls"/>
    <xsd:element name="DocumentType" ma:index="9" nillable="true" ma:displayName="Document Type" ma:default="" ma:format="Dropdown" ma:internalName="DocumentType" ma:readOnly="false">
      <xsd:simpleType>
        <xsd:restriction base="dms:Choice">
          <xsd:enumeration value="APPLICATION, certificate, consent related"/>
          <xsd:enumeration value="CONTRACT, Variation, Agreement"/>
          <xsd:enumeration value="CORRESPONDENCE"/>
          <xsd:enumeration value="DRAWING, Plan, Map"/>
          <xsd:enumeration value="EMPLOYMENT related"/>
          <xsd:enumeration value="FINANCIAL related"/>
          <xsd:enumeration value="KNOWLEDGE article"/>
          <xsd:enumeration value="MEETING related"/>
          <xsd:enumeration value="MEMO, Filenote, Email"/>
          <xsd:enumeration value="MODEL, Calculation, Working"/>
          <xsd:enumeration value="PHOTO, Image or Multi-media"/>
          <xsd:enumeration value="PRESENTATION"/>
          <xsd:enumeration value="PUBLICATION material"/>
          <xsd:enumeration value="PURCHASING related"/>
          <xsd:enumeration value="REPORT, or planning related"/>
          <xsd:enumeration value="RULES, Policy, Bylaw, procedure"/>
          <xsd:enumeration value="SERVICE REQUEST related"/>
          <xsd:enumeration value="SPECIFICATION or standard"/>
          <xsd:enumeration value="SUPPLIER PRODUCT Info"/>
          <xsd:enumeration value="TEMPLATE, Checklist or Form"/>
        </xsd:restriction>
      </xsd:simpleType>
    </xsd:element>
    <xsd:element name="Narrative" ma:index="11" nillable="true" ma:displayName="Narrative" ma:default="" ma:hidden="true" ma:internalName="Narrative" ma:readOnly="false">
      <xsd:simpleType>
        <xsd:restriction base="dms:Note"/>
      </xsd:simpleType>
    </xsd:element>
    <xsd:element name="Subactivity" ma:index="13" nillable="true" ma:displayName="Subactivity" ma:default="NA" ma:hidden="true" ma:internalName="Subactivity" ma:readOnly="false">
      <xsd:simpleType>
        <xsd:restriction base="dms:Text">
          <xsd:maxLength value="255"/>
        </xsd:restriction>
      </xsd:simpleType>
    </xsd:element>
    <xsd:element name="Case" ma:index="14" nillable="true" ma:displayName="Case" ma:default="NA" ma:hidden="true" ma:internalName="Case" ma:readOnly="false">
      <xsd:simpleType>
        <xsd:restriction base="dms:Text">
          <xsd:maxLength value="255"/>
        </xsd:restriction>
      </xsd:simpleType>
    </xsd:element>
    <xsd:element name="RelatedPeople" ma:index="15" nillable="true" ma:displayName="Related People" ma:hidden="true" ma:list="UserInfo" ma:SharePointGroup="0" ma:internalName="RelatedPeople" ma:readOnly="fals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ategoryName" ma:index="16" nillable="true" ma:displayName="Category 1" ma:default="NA" ma:hidden="true" ma:internalName="CategoryName" ma:readOnly="false">
      <xsd:simpleType>
        <xsd:restriction base="dms:Text">
          <xsd:maxLength value="255"/>
        </xsd:restriction>
      </xsd:simpleType>
    </xsd:element>
    <xsd:element name="CategoryValue" ma:index="17" nillable="true" ma:displayName="Category 2" ma:default="NA" ma:hidden="true" ma:internalName="CategoryValue" ma:readOnly="false">
      <xsd:simpleType>
        <xsd:restriction base="dms:Text">
          <xsd:maxLength value="255"/>
        </xsd:restriction>
      </xsd:simpleType>
    </xsd:element>
    <xsd:element name="BusinessValue" ma:index="18" nillable="true" ma:displayName="Business Value" ma:hidden="true" ma:internalName="BusinessValue" ma:readOnly="false">
      <xsd:simpleType>
        <xsd:restriction base="dms:Text">
          <xsd:maxLength value="255"/>
        </xsd:restriction>
      </xsd:simpleType>
    </xsd:element>
    <xsd:element name="FunctionGroup" ma:index="19" nillable="true" ma:displayName="Function Group" ma:default="Project Management" ma:hidden="true" ma:internalName="FunctionGroup" ma:readOnly="false">
      <xsd:simpleType>
        <xsd:restriction base="dms:Text">
          <xsd:maxLength value="255"/>
        </xsd:restriction>
      </xsd:simpleType>
    </xsd:element>
    <xsd:element name="Function" ma:index="20" nillable="true" ma:displayName="Function" ma:default="Environmental Planning" ma:hidden="true" ma:internalName="Function" ma:readOnly="false">
      <xsd:simpleType>
        <xsd:restriction base="dms:Text">
          <xsd:maxLength value="255"/>
        </xsd:restriction>
      </xsd:simpleType>
    </xsd:element>
    <xsd:element name="PRAType" ma:index="21" nillable="true" ma:displayName="PRA Type" ma:default="Doc" ma:hidden="true" ma:indexed="true" ma:internalName="PRAType" ma:readOnly="false">
      <xsd:simpleType>
        <xsd:restriction base="dms:Text">
          <xsd:maxLength value="255"/>
        </xsd:restriction>
      </xsd:simpleType>
    </xsd:element>
    <xsd:element name="PRADate1" ma:index="22" nillable="true" ma:displayName="PRA Date 1" ma:format="DateOnly" ma:hidden="true" ma:internalName="PRADate1" ma:readOnly="false">
      <xsd:simpleType>
        <xsd:restriction base="dms:DateTime"/>
      </xsd:simpleType>
    </xsd:element>
    <xsd:element name="PRADate2" ma:index="23" nillable="true" ma:displayName="PRA Date 2" ma:format="DateOnly" ma:hidden="true" ma:internalName="PRADate2" ma:readOnly="false">
      <xsd:simpleType>
        <xsd:restriction base="dms:DateTime"/>
      </xsd:simpleType>
    </xsd:element>
    <xsd:element name="PRADate3" ma:index="24" nillable="true" ma:displayName="PRA Date 3" ma:format="DateOnly" ma:hidden="true" ma:internalName="PRADate3" ma:readOnly="false">
      <xsd:simpleType>
        <xsd:restriction base="dms:DateTime"/>
      </xsd:simpleType>
    </xsd:element>
    <xsd:element name="PRADateDisposal" ma:index="25" nillable="true" ma:displayName="PRA Date Disposal" ma:format="DateOnly" ma:hidden="true" ma:internalName="PRADateDisposal" ma:readOnly="false">
      <xsd:simpleType>
        <xsd:restriction base="dms:DateTime"/>
      </xsd:simpleType>
    </xsd:element>
    <xsd:element name="PRADateTrigger" ma:index="26" nillable="true" ma:displayName="PRA Date Trigger" ma:format="DateOnly" ma:hidden="true" ma:internalName="PRADateTrigger" ma:readOnly="false">
      <xsd:simpleType>
        <xsd:restriction base="dms:DateTime"/>
      </xsd:simpleType>
    </xsd:element>
    <xsd:element name="PRAText1" ma:index="27" nillable="true" ma:displayName="PRA Text 1" ma:hidden="true" ma:internalName="PRAText1" ma:readOnly="false">
      <xsd:simpleType>
        <xsd:restriction base="dms:Text">
          <xsd:maxLength value="255"/>
        </xsd:restriction>
      </xsd:simpleType>
    </xsd:element>
    <xsd:element name="PRAText2" ma:index="28" nillable="true" ma:displayName="PRA Text 2" ma:hidden="true" ma:internalName="PRAText2" ma:readOnly="false">
      <xsd:simpleType>
        <xsd:restriction base="dms:Text">
          <xsd:maxLength value="255"/>
        </xsd:restriction>
      </xsd:simpleType>
    </xsd:element>
    <xsd:element name="PRAText3" ma:index="29" nillable="true" ma:displayName="PRA Text 3" ma:hidden="true" ma:internalName="PRAText3" ma:readOnly="false">
      <xsd:simpleType>
        <xsd:restriction base="dms:Text">
          <xsd:maxLength value="255"/>
        </xsd:restriction>
      </xsd:simpleType>
    </xsd:element>
    <xsd:element name="PRAText4" ma:index="30" nillable="true" ma:displayName="PRA Text 4" ma:hidden="true" ma:internalName="PRAText4" ma:readOnly="false">
      <xsd:simpleType>
        <xsd:restriction base="dms:Text">
          <xsd:maxLength value="255"/>
        </xsd:restriction>
      </xsd:simpleType>
    </xsd:element>
    <xsd:element name="PRAText5" ma:index="31" nillable="true" ma:displayName="PRA Text 5" ma:hidden="true" ma:internalName="PRAText5" ma:readOnly="false">
      <xsd:simpleType>
        <xsd:restriction base="dms:Text">
          <xsd:maxLength value="255"/>
        </xsd:restriction>
      </xsd:simpleType>
    </xsd:element>
    <xsd:element name="AggregationStatus" ma:index="32" nillable="true" ma:displayName="Aggregation Status" ma:default="Normal" ma:format="Dropdown" ma:hidden="true" ma:internalName="AggregationStatus" ma:readOnly="false">
      <xsd:simpleType>
        <xsd:restriction base="dms:Choice">
          <xsd:enumeration value="Delete Soon"/>
          <xsd:enumeration value="Transfer Soon"/>
          <xsd:enumeration value="Appraise Soon"/>
          <xsd:enumeration value="Delete"/>
          <xsd:enumeration value="Transfer"/>
          <xsd:enumeration value="Appraise"/>
          <xsd:enumeration value="Hold"/>
          <xsd:enumeration value="Normal"/>
          <xsd:enumeration value="Archive"/>
        </xsd:restriction>
      </xsd:simpleType>
    </xsd:element>
    <xsd:element name="Project" ma:index="33" nillable="true" ma:displayName="Project" ma:default="Team Essential Freshwater Policy Programme" ma:hidden="true" ma:internalName="Project" ma:readOnly="false">
      <xsd:simpleType>
        <xsd:restriction base="dms:Text">
          <xsd:maxLength value="255"/>
        </xsd:restriction>
      </xsd:simpleType>
    </xsd:element>
    <xsd:element name="Activity" ma:index="34" nillable="true" ma:displayName="Activity" ma:default="Programmes" ma:hidden="true" ma:internalName="Activity"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ffb055-6eb4-45a1-bc20-bf2ac0d420da" elementFormDefault="qualified">
    <xsd:import namespace="http://schemas.microsoft.com/office/2006/documentManagement/types"/>
    <xsd:import namespace="http://schemas.microsoft.com/office/infopath/2007/PartnerControls"/>
    <xsd:element name="KeyWords" ma:index="10" nillable="true" ma:displayName="Key Words" ma:default="" ma:hidden="true" ma:internalName="KeyWords" ma:readOnly="false">
      <xsd:simpleType>
        <xsd:restriction base="dms:Note"/>
      </xsd:simpleType>
    </xsd:element>
    <xsd:element name="SecurityClassification" ma:index="12" nillable="true" ma:displayName="Security Classification" ma:default="Unclassified" ma:format="Dropdown" ma:hidden="true" ma:internalName="SecurityClassification" ma:readOnly="false">
      <xsd:simpleType>
        <xsd:restriction base="dms:Choice">
          <xsd:enumeration value="Unclassified"/>
          <xsd:enumeration value="Internal"/>
          <xsd:enumeration value="In confidence-commercial"/>
          <xsd:enumeration value="In confidence-private"/>
          <xsd:enumeration value="Public Access"/>
        </xsd:restriction>
      </xsd:simpleType>
    </xsd:element>
    <xsd:element name="HarmonieUIHidden" ma:index="41" nillable="true" ma:displayName="HarmonieUIHidden" ma:hidden="true" ma:internalName="HarmonieUIHidden"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25c79e5-42ce-4aa0-ac78-b6418001f0d2" elementFormDefault="qualified">
    <xsd:import namespace="http://schemas.microsoft.com/office/2006/documentManagement/types"/>
    <xsd:import namespace="http://schemas.microsoft.com/office/infopath/2007/PartnerControls"/>
    <xsd:element name="AggregationNarrative" ma:index="35" nillable="true" ma:displayName="Aggregation Narrative" ma:hidden="true" ma:internalName="AggregationNarrative"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1a514c-9034-4fa3-897a-8352025b26ed" elementFormDefault="qualified">
    <xsd:import namespace="http://schemas.microsoft.com/office/2006/documentManagement/types"/>
    <xsd:import namespace="http://schemas.microsoft.com/office/infopath/2007/PartnerControls"/>
    <xsd:element name="Channel" ma:index="36" nillable="true" ma:displayName="Channel" ma:default="NA" ma:hidden="true" ma:internalName="Channel" ma:readOnly="false">
      <xsd:simpleType>
        <xsd:restriction base="dms:Text">
          <xsd:maxLength value="255"/>
        </xsd:restriction>
      </xsd:simpleType>
    </xsd:element>
    <xsd:element name="Team" ma:index="37" nillable="true" ma:displayName="Team" ma:default="Team Essential Freshwater Policy Programme" ma:hidden="true" ma:internalName="Team" ma:readOnly="false">
      <xsd:simpleType>
        <xsd:restriction base="dms:Text">
          <xsd:maxLength value="255"/>
        </xsd:restriction>
      </xsd:simpleType>
    </xsd:element>
    <xsd:element name="Level2" ma:index="38" nillable="true" ma:displayName="Level 2" ma:default="" ma:hidden="true" ma:internalName="Level2" ma:readOnly="false">
      <xsd:simpleType>
        <xsd:restriction base="dms:Text">
          <xsd:maxLength value="255"/>
        </xsd:restriction>
      </xsd:simpleType>
    </xsd:element>
    <xsd:element name="Level3" ma:index="39" nillable="true" ma:displayName="Level 3" ma:default="" ma:hidden="true" ma:internalName="Level3" ma:readOnly="false">
      <xsd:simpleType>
        <xsd:restriction base="dms:Text">
          <xsd:maxLength value="255"/>
        </xsd:restriction>
      </xsd:simpleType>
    </xsd:element>
    <xsd:element name="Year" ma:index="40" nillable="true" ma:displayName="Year" ma:default="" ma:hidden="true" ma:internalName="Year"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ubactivity xmlns="4f9c820c-e7e2-444d-97ee-45f2b3485c1d">Data, tools &amp; general assessment</Subactivity>
    <BusinessValue xmlns="4f9c820c-e7e2-444d-97ee-45f2b3485c1d" xsi:nil="true"/>
    <PRADateDisposal xmlns="4f9c820c-e7e2-444d-97ee-45f2b3485c1d" xsi:nil="true"/>
    <KeyWords xmlns="15ffb055-6eb4-45a1-bc20-bf2ac0d420da" xsi:nil="true"/>
    <SecurityClassification xmlns="15ffb055-6eb4-45a1-bc20-bf2ac0d420da" xsi:nil="true"/>
    <PRADate3 xmlns="4f9c820c-e7e2-444d-97ee-45f2b3485c1d" xsi:nil="true"/>
    <PRAText5 xmlns="4f9c820c-e7e2-444d-97ee-45f2b3485c1d" xsi:nil="true"/>
    <Level2 xmlns="c91a514c-9034-4fa3-897a-8352025b26ed">NA</Level2>
    <ObjectiveID xmlns="42a0bbc6-c0fa-435d-8112-78448e35fbf5" xsi:nil="true"/>
    <Activity xmlns="4f9c820c-e7e2-444d-97ee-45f2b3485c1d">Programmes</Activity>
    <AggregationStatus xmlns="4f9c820c-e7e2-444d-97ee-45f2b3485c1d">Normal</AggregationStatus>
    <CategoryValue xmlns="4f9c820c-e7e2-444d-97ee-45f2b3485c1d">NA</CategoryValue>
    <PRADate2 xmlns="4f9c820c-e7e2-444d-97ee-45f2b3485c1d" xsi:nil="true"/>
    <Case xmlns="4f9c820c-e7e2-444d-97ee-45f2b3485c1d">NA</Case>
    <PRAText1 xmlns="4f9c820c-e7e2-444d-97ee-45f2b3485c1d" xsi:nil="true"/>
    <PRAText4 xmlns="4f9c820c-e7e2-444d-97ee-45f2b3485c1d" xsi:nil="true"/>
    <Level3 xmlns="c91a514c-9034-4fa3-897a-8352025b26ed">NA</Level3>
    <Team xmlns="c91a514c-9034-4fa3-897a-8352025b26ed">Team Essential Freshwater Policy Programme</Team>
    <Project xmlns="4f9c820c-e7e2-444d-97ee-45f2b3485c1d">Team Essential Freshwater Policy Programme</Project>
    <FunctionGroup xmlns="4f9c820c-e7e2-444d-97ee-45f2b3485c1d">Project Management</FunctionGroup>
    <Function xmlns="4f9c820c-e7e2-444d-97ee-45f2b3485c1d">Environmental Planning</Function>
    <RelatedPeople xmlns="4f9c820c-e7e2-444d-97ee-45f2b3485c1d">
      <UserInfo>
        <DisplayName/>
        <AccountId xsi:nil="true"/>
        <AccountType/>
      </UserInfo>
    </RelatedPeople>
    <AggregationNarrative xmlns="725c79e5-42ce-4aa0-ac78-b6418001f0d2" xsi:nil="true"/>
    <Channel xmlns="c91a514c-9034-4fa3-897a-8352025b26ed">23 socio economic WS</Channel>
    <PRAType xmlns="4f9c820c-e7e2-444d-97ee-45f2b3485c1d">Doc</PRAType>
    <PRADate1 xmlns="4f9c820c-e7e2-444d-97ee-45f2b3485c1d" xsi:nil="true"/>
    <DocumentType xmlns="4f9c820c-e7e2-444d-97ee-45f2b3485c1d" xsi:nil="true"/>
    <PRAText3 xmlns="4f9c820c-e7e2-444d-97ee-45f2b3485c1d" xsi:nil="true"/>
    <Year xmlns="c91a514c-9034-4fa3-897a-8352025b26ed">NA</Year>
    <Narrative xmlns="4f9c820c-e7e2-444d-97ee-45f2b3485c1d" xsi:nil="true"/>
    <CategoryName xmlns="4f9c820c-e7e2-444d-97ee-45f2b3485c1d">Data, tools &amp; general assessment</CategoryName>
    <PRADateTrigger xmlns="4f9c820c-e7e2-444d-97ee-45f2b3485c1d" xsi:nil="true"/>
    <PRAText2 xmlns="4f9c820c-e7e2-444d-97ee-45f2b3485c1d" xsi:nil="true"/>
    <HarmonieUIHidden xmlns="15ffb055-6eb4-45a1-bc20-bf2ac0d420da" xsi:nil="true"/>
  </documentManagement>
</p:properties>
</file>

<file path=customXml/itemProps1.xml><?xml version="1.0" encoding="utf-8"?>
<ds:datastoreItem xmlns:ds="http://schemas.openxmlformats.org/officeDocument/2006/customXml" ds:itemID="{7217600E-12A0-4D5D-9F56-70ABF03D02BF}"/>
</file>

<file path=customXml/itemProps2.xml><?xml version="1.0" encoding="utf-8"?>
<ds:datastoreItem xmlns:ds="http://schemas.openxmlformats.org/officeDocument/2006/customXml" ds:itemID="{F8DB6E1C-C9F9-4023-82DC-A24B68484734}"/>
</file>

<file path=customXml/itemProps3.xml><?xml version="1.0" encoding="utf-8"?>
<ds:datastoreItem xmlns:ds="http://schemas.openxmlformats.org/officeDocument/2006/customXml" ds:itemID="{9979C042-5094-49FB-8F90-FA9B5CA7467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Sophal Chhun</dc:creator>
  <cp:keywords/>
  <dc:description/>
  <cp:lastModifiedBy/>
  <cp:revision/>
  <dcterms:created xsi:type="dcterms:W3CDTF">2025-09-28T22:32:21Z</dcterms:created>
  <dcterms:modified xsi:type="dcterms:W3CDTF">2026-05-14T23:03:46Z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0x0101007C7594F3ADAF4B4880E6F739CCCAE51500397B27E84C55DC4F9F45CD50166DF71C</vt:lpwstr>
  </property>
  <property fmtid="{D5CDD505-2E9C-101B-9397-08002B2CF9AE}" pid="3" name="MediaServiceImageTags">
    <vt:lpwstr/>
  </property>
  <property fmtid="{D5CDD505-2E9C-101B-9397-08002B2CF9AE}" pid="4" name="lcf76f155ced4ddcb4097134ff3c332f">
    <vt:lpwstr/>
  </property>
  <property fmtid="{D5CDD505-2E9C-101B-9397-08002B2CF9AE}" pid="5" name="TaxCatchAll">
    <vt:lpwstr/>
  </property>
</Properties>
</file>